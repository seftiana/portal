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PRODI SA\KURIKULUM\KURIKULUM BARU\Rancangan kurikulum\Pengumuman ke mhs\"/>
    </mc:Choice>
  </mc:AlternateContent>
  <bookViews>
    <workbookView xWindow="0" yWindow="0" windowWidth="20490" windowHeight="7755" tabRatio="751" firstSheet="5" activeTab="5"/>
  </bookViews>
  <sheets>
    <sheet name="KURIKULUM ASLI" sheetId="1" state="hidden" r:id="rId1"/>
    <sheet name="GAFTAR ALIR SA ASLI" sheetId="5" state="hidden" r:id="rId2"/>
    <sheet name="Kurikulum 2015" sheetId="9" state="hidden" r:id="rId3"/>
    <sheet name="GAFTAR ALIR 2015" sheetId="11" state="hidden" r:id="rId4"/>
    <sheet name="Kurikulum 2019" sheetId="8" state="hidden" r:id="rId5"/>
    <sheet name="Gaftar Alir 2019" sheetId="7" r:id="rId6"/>
    <sheet name="Komparasi Per Semester" sheetId="10" state="hidden" r:id="rId7"/>
    <sheet name="Komparasi2" sheetId="12" state="hidden" r:id="rId8"/>
    <sheet name="Penyetaraan" sheetId="13" r:id="rId9"/>
  </sheets>
  <definedNames>
    <definedName name="aa" localSheetId="1">'GAFTAR ALIR SA ASLI'!$1:$1048576</definedName>
    <definedName name="aa">#REF!</definedName>
    <definedName name="_xlnm.Print_Area" localSheetId="1">'GAFTAR ALIR SA ASLI'!$B$1:$AA$54</definedName>
  </definedNames>
  <calcPr calcId="152511"/>
</workbook>
</file>

<file path=xl/calcChain.xml><?xml version="1.0" encoding="utf-8"?>
<calcChain xmlns="http://schemas.openxmlformats.org/spreadsheetml/2006/main">
  <c r="S49" i="7" l="1"/>
  <c r="G80" i="10"/>
  <c r="O49" i="11"/>
  <c r="L49" i="11"/>
  <c r="I49" i="11"/>
  <c r="F49" i="11"/>
  <c r="C49" i="11"/>
  <c r="C51" i="11" s="1"/>
  <c r="G53" i="10"/>
  <c r="G43" i="10"/>
  <c r="G108" i="10" s="1"/>
  <c r="G33" i="10"/>
  <c r="F48" i="8"/>
  <c r="G23" i="10"/>
  <c r="G12" i="10"/>
  <c r="D12" i="10"/>
  <c r="O49" i="7" l="1"/>
  <c r="L49" i="7"/>
  <c r="I49" i="7"/>
  <c r="F49" i="7"/>
  <c r="C49" i="7"/>
  <c r="C51" i="7" l="1"/>
  <c r="O49" i="5"/>
  <c r="L49" i="5"/>
  <c r="I49" i="5"/>
  <c r="F49" i="5"/>
  <c r="C49" i="5"/>
  <c r="C51" i="5" l="1"/>
  <c r="E101" i="1" l="1"/>
  <c r="E78" i="1" l="1"/>
  <c r="E52" i="1"/>
  <c r="E42" i="1"/>
  <c r="E32" i="1"/>
  <c r="E22" i="1"/>
  <c r="E12" i="1"/>
  <c r="E107" i="1" s="1"/>
</calcChain>
</file>

<file path=xl/sharedStrings.xml><?xml version="1.0" encoding="utf-8"?>
<sst xmlns="http://schemas.openxmlformats.org/spreadsheetml/2006/main" count="1821" uniqueCount="429">
  <si>
    <t>Distribusi Mata Kuliah &amp; Elemen Kompetensi</t>
  </si>
  <si>
    <t>No</t>
  </si>
  <si>
    <t>Kode</t>
  </si>
  <si>
    <t>Mata Kuliah</t>
  </si>
  <si>
    <t>SKS</t>
  </si>
  <si>
    <t>Elemen Kompetensi</t>
  </si>
  <si>
    <t>SEMESTER I</t>
  </si>
  <si>
    <t>EKM 2050</t>
  </si>
  <si>
    <t>Pengantar Manajemen</t>
  </si>
  <si>
    <t>C</t>
  </si>
  <si>
    <t>EKU 2082</t>
  </si>
  <si>
    <t>Pengantar Aplikasi Komputer</t>
  </si>
  <si>
    <t>EKA 2041</t>
  </si>
  <si>
    <t>Pengantar Akuntansi I</t>
  </si>
  <si>
    <t>MPK 1020</t>
  </si>
  <si>
    <t>Pendidikan Agama</t>
  </si>
  <si>
    <t>A</t>
  </si>
  <si>
    <t>EKF 2010</t>
  </si>
  <si>
    <t>Pengantar Ilmu Ekonomi</t>
  </si>
  <si>
    <t>MKK 3021</t>
  </si>
  <si>
    <t>Bhs. Inggris Untuk Ekonomi</t>
  </si>
  <si>
    <t>B</t>
  </si>
  <si>
    <t>MKK 3034</t>
  </si>
  <si>
    <t>Matematika Bisnis</t>
  </si>
  <si>
    <t>SEMESTER II</t>
  </si>
  <si>
    <t>EKM 2060</t>
  </si>
  <si>
    <t>Hukum Bisnis</t>
  </si>
  <si>
    <t>EKA 2042</t>
  </si>
  <si>
    <t>Pengantar Akuntansi II</t>
  </si>
  <si>
    <t>EKA 2043</t>
  </si>
  <si>
    <t>Lab. Pengantar Akuntansi</t>
  </si>
  <si>
    <t>MKK 3010</t>
  </si>
  <si>
    <t>Bahasa Indonesia</t>
  </si>
  <si>
    <t>EKF 2030</t>
  </si>
  <si>
    <t>Perekonomian Indonesia</t>
  </si>
  <si>
    <t>MPK 1011</t>
  </si>
  <si>
    <t>Pendidikan Pancasila &amp; Kewarganegaraan</t>
  </si>
  <si>
    <t>MKK 3022</t>
  </si>
  <si>
    <t>Bahasa Inggris untuk Bisnis</t>
  </si>
  <si>
    <t>MKK 3041</t>
  </si>
  <si>
    <t>Statistik Deskriptif</t>
  </si>
  <si>
    <t>SEMESTER III</t>
  </si>
  <si>
    <t>EKA 4070</t>
  </si>
  <si>
    <t>Perpajakan I</t>
  </si>
  <si>
    <t>D</t>
  </si>
  <si>
    <t>EKA 4030</t>
  </si>
  <si>
    <t xml:space="preserve">Akuntansi Biaya </t>
  </si>
  <si>
    <t>EKA 4031</t>
  </si>
  <si>
    <t>Lab. Akuntansi Biaya</t>
  </si>
  <si>
    <t>EKA 4011</t>
  </si>
  <si>
    <t>Akuntansi Keuangan Menengah I</t>
  </si>
  <si>
    <t>EKF 4150</t>
  </si>
  <si>
    <t>Sistem Informasi Manajemen</t>
  </si>
  <si>
    <t>MKK 3023</t>
  </si>
  <si>
    <t>Bahasa Inggris Untuk Tujuan Profesi</t>
  </si>
  <si>
    <t>MKK 3042</t>
  </si>
  <si>
    <t>Statistik Inferensial &amp; Lab.</t>
  </si>
  <si>
    <t>EKA 2070</t>
  </si>
  <si>
    <t>Bank Dan Lembaga Keuangan Lainnya</t>
  </si>
  <si>
    <t>SEMESTER IV</t>
  </si>
  <si>
    <t>EKA 4072</t>
  </si>
  <si>
    <t>Perpajakan II</t>
  </si>
  <si>
    <t>EKA 4040</t>
  </si>
  <si>
    <t xml:space="preserve">Akuntansi Manajemen </t>
  </si>
  <si>
    <t>EKA 4012</t>
  </si>
  <si>
    <t>Akuntansi Keuangan Menengah II</t>
  </si>
  <si>
    <t>EKA 4013</t>
  </si>
  <si>
    <t>EKF 4101</t>
  </si>
  <si>
    <t>Manajemen Keuangan I</t>
  </si>
  <si>
    <t>EKA 4161</t>
  </si>
  <si>
    <t>Auditing I</t>
  </si>
  <si>
    <t>EKA 4130</t>
  </si>
  <si>
    <t>EKA 4113</t>
  </si>
  <si>
    <t>Lab. Bank Mini</t>
  </si>
  <si>
    <t>SEMESTER V</t>
  </si>
  <si>
    <t>EKA 4073</t>
  </si>
  <si>
    <t>Lab. Pajak</t>
  </si>
  <si>
    <t>EKA 4050</t>
  </si>
  <si>
    <t>Manajemen Biaya</t>
  </si>
  <si>
    <t>EKA 4022</t>
  </si>
  <si>
    <t>Akuntansi Keuangan Lanjutan I</t>
  </si>
  <si>
    <t>EKF 4102</t>
  </si>
  <si>
    <t>Manajemen Keuangan II</t>
  </si>
  <si>
    <t>EKA 4162</t>
  </si>
  <si>
    <t>Auditing II</t>
  </si>
  <si>
    <t>EKA 4164</t>
  </si>
  <si>
    <t>Lab. Auditing</t>
  </si>
  <si>
    <t>EKA 4141</t>
  </si>
  <si>
    <t>EKA 4221</t>
  </si>
  <si>
    <t>Akuntansi Perbankan</t>
  </si>
  <si>
    <t>SEMESTER VI</t>
  </si>
  <si>
    <t>EKA 4060</t>
  </si>
  <si>
    <t>Sistem Pengendalian Manajemen</t>
  </si>
  <si>
    <t>EKA 4021</t>
  </si>
  <si>
    <t>Akuntansi Keuangan Lanjutan II</t>
  </si>
  <si>
    <t>EKA 4211</t>
  </si>
  <si>
    <t>Akuntansi Sektor Publik</t>
  </si>
  <si>
    <t>EKA 4170</t>
  </si>
  <si>
    <t>Auditing Internal</t>
  </si>
  <si>
    <t>EKF 4110</t>
  </si>
  <si>
    <t xml:space="preserve">Analisa Laporan Keuangan </t>
  </si>
  <si>
    <t>EKA 3050</t>
  </si>
  <si>
    <t>Metodologi Penelitian Bisnis</t>
  </si>
  <si>
    <t>Mata Kuliah Peminatan sbb :</t>
  </si>
  <si>
    <t>Boleh memilih sesuai dengan Peminatannya sbb:</t>
  </si>
  <si>
    <t>EKA 5341</t>
  </si>
  <si>
    <t>Perpajakan Internasional*</t>
  </si>
  <si>
    <t>E</t>
  </si>
  <si>
    <t>EKA 5311</t>
  </si>
  <si>
    <t>Analisis Investasi dan Portfolio*</t>
  </si>
  <si>
    <t>EKA 5322</t>
  </si>
  <si>
    <t>EKA 5334</t>
  </si>
  <si>
    <t>Proyek Sistem Informasi*</t>
  </si>
  <si>
    <t>EKA 5353</t>
  </si>
  <si>
    <t>Asset and Liability Management*</t>
  </si>
  <si>
    <t>EKA 5361</t>
  </si>
  <si>
    <t>Strategi Manajemen Biaya*</t>
  </si>
  <si>
    <t>EKA 5356</t>
  </si>
  <si>
    <t>Manajemen Bank Syariah*</t>
  </si>
  <si>
    <t>*) Pilihan sesuai Peminatannya</t>
  </si>
  <si>
    <t>SEMESTER VII</t>
  </si>
  <si>
    <t>EKM 4180</t>
  </si>
  <si>
    <t>Manajemen Strategi</t>
  </si>
  <si>
    <t>EKU 1040</t>
  </si>
  <si>
    <t>Etika Bisnis dan profesi</t>
  </si>
  <si>
    <t>EKA 4190</t>
  </si>
  <si>
    <t>Teori Akuntansi</t>
  </si>
  <si>
    <t>EKM 4201</t>
  </si>
  <si>
    <t>Manajemen Pemasaran</t>
  </si>
  <si>
    <t>Mata Kuliah Peminatan sbb:</t>
  </si>
  <si>
    <t>5 &amp; 6</t>
  </si>
  <si>
    <t>EKA 5342</t>
  </si>
  <si>
    <t>Manajemen Perpajakan</t>
  </si>
  <si>
    <t>EKA 5343</t>
  </si>
  <si>
    <t>Seminar Pajak</t>
  </si>
  <si>
    <t>EKA 5313</t>
  </si>
  <si>
    <t>Lab. Pasar Modal</t>
  </si>
  <si>
    <t>EKA 5312</t>
  </si>
  <si>
    <t>Seminar Akuntansi Keuangan</t>
  </si>
  <si>
    <t>EKA 5321</t>
  </si>
  <si>
    <t>EDP Audit (Laboratorium)</t>
  </si>
  <si>
    <t>EKA 5323</t>
  </si>
  <si>
    <t>Seminar Auditing</t>
  </si>
  <si>
    <t>EKF 5325</t>
  </si>
  <si>
    <t>Good Corporate Governance</t>
  </si>
  <si>
    <t>EKA 5327</t>
  </si>
  <si>
    <t>Seminar Auditing Internal</t>
  </si>
  <si>
    <t>EKA 5335</t>
  </si>
  <si>
    <t>Seminar Sistem Informasi</t>
  </si>
  <si>
    <t>EKA 5336</t>
  </si>
  <si>
    <t>Sistem Pendukung Pengambilan Keputusan</t>
  </si>
  <si>
    <t>EKA 5351</t>
  </si>
  <si>
    <t>Manajemen Resiko  Perbankan</t>
  </si>
  <si>
    <t>EKA 5354</t>
  </si>
  <si>
    <t>Lab. Dealing Room Perbankan</t>
  </si>
  <si>
    <t>EKA 5357</t>
  </si>
  <si>
    <t>Praktikum Bank Mini Syariah (Lab.)</t>
  </si>
  <si>
    <t>EKA 5355</t>
  </si>
  <si>
    <t>Akuntansi Bank Syariah</t>
  </si>
  <si>
    <t>EKA 5360</t>
  </si>
  <si>
    <t>Seminar Akuntansi Manajemen</t>
  </si>
  <si>
    <t>Skripsi</t>
  </si>
  <si>
    <t>Praktik Kerja Lapangan (Non-Skripsi)*</t>
  </si>
  <si>
    <t>c.        Peminatan Auditing</t>
  </si>
  <si>
    <t>d.        Peminatan Auditing Internal</t>
  </si>
  <si>
    <t>Sumber: Prodi Akuntansi Fakultas Ekonomi &amp;Bisnis Institut Perbanas</t>
  </si>
  <si>
    <t xml:space="preserve">TOTAL SKS </t>
  </si>
  <si>
    <t>TOTAL SKS PRODI S1 AKUNTANSI</t>
  </si>
  <si>
    <t>Akuntansi Forensik dan Audit Investigasi*</t>
  </si>
  <si>
    <t>a.        Peminatan Perpajakan</t>
  </si>
  <si>
    <t>b.        Peminatan Akuntasi Keuangan</t>
  </si>
  <si>
    <t>g.        Peminatan Bank Syariah</t>
  </si>
  <si>
    <t>h.        Peminatan Akuntasi Manajemen</t>
  </si>
  <si>
    <t>e.        Peminatan Sistem Informasi</t>
  </si>
  <si>
    <t>f.         Peminatan Bank Umum (Konvensional)</t>
  </si>
  <si>
    <t>a.</t>
  </si>
  <si>
    <t>b.</t>
  </si>
  <si>
    <t>c. &amp; d.</t>
  </si>
  <si>
    <t>e.</t>
  </si>
  <si>
    <t>f.</t>
  </si>
  <si>
    <t>g.</t>
  </si>
  <si>
    <t>h.</t>
  </si>
  <si>
    <t>Lab. Akuntansi Keuangan Menengah</t>
  </si>
  <si>
    <t xml:space="preserve"> SEMESTER VIII</t>
  </si>
  <si>
    <t>Praktikum Pajak</t>
  </si>
  <si>
    <t>Akuntansi Perpajakan</t>
  </si>
  <si>
    <t>c.</t>
  </si>
  <si>
    <t>d.</t>
  </si>
  <si>
    <t>Sistem Informasi Akuntansi II</t>
  </si>
  <si>
    <t>Sistem Informasi Akuntansi I</t>
  </si>
  <si>
    <t>Proyek Sistem Informasi</t>
  </si>
  <si>
    <t xml:space="preserve">                         DAFTAR ALIR MATA KULIAH JENJANG STRATA SATU</t>
  </si>
  <si>
    <t xml:space="preserve">                         PROGRAM STUDI AKUNTANSI PERBANAS INSTITUTE -  TAHUN 2015</t>
  </si>
  <si>
    <t>SEMESTER VIII</t>
  </si>
  <si>
    <t>PENGANTAR MANAJEMEN</t>
  </si>
  <si>
    <t>MANAJEMEN STRATEGI</t>
  </si>
  <si>
    <t>PERPAJAKAN II</t>
  </si>
  <si>
    <t>Pajak Internasional</t>
  </si>
  <si>
    <t>Seminar Perpajakan</t>
  </si>
  <si>
    <t>ETIKA BISNIS &amp; PROFESI</t>
  </si>
  <si>
    <t>Pengantar</t>
  </si>
  <si>
    <t>PENGANTAR AKUNTANSI II</t>
  </si>
  <si>
    <t>Akt. Keuangan Menengah I</t>
  </si>
  <si>
    <t>AKT. KEUANGAN MENENGAH II</t>
  </si>
  <si>
    <t>Akt. Keuangan Lanjutan I</t>
  </si>
  <si>
    <t>AKT. KEUANGAN LANJUTAN II</t>
  </si>
  <si>
    <t>TEORI AKUNTANSI</t>
  </si>
  <si>
    <t>Akuntansi I</t>
  </si>
  <si>
    <t>Lab. Akt. Keu. Menengah</t>
  </si>
  <si>
    <t>Akuntansi Internasional</t>
  </si>
  <si>
    <t>BAHASA INDONESIA</t>
  </si>
  <si>
    <t>Manajemen</t>
  </si>
  <si>
    <t>MANAJEMEN</t>
  </si>
  <si>
    <t>Analisis Investasi Portofolio</t>
  </si>
  <si>
    <t>Seminar  Akuntansi Keuangan</t>
  </si>
  <si>
    <t>Keuangan I</t>
  </si>
  <si>
    <t>KEUANGAN II</t>
  </si>
  <si>
    <t>ANALISA LAPORAN KEUANGAN</t>
  </si>
  <si>
    <t>Lab Pasar Modal</t>
  </si>
  <si>
    <t>PENDIDIKAN PANCASILA</t>
  </si>
  <si>
    <t>&amp; KEWARGANEGARAAN</t>
  </si>
  <si>
    <t>Lab Dealing Room Perbankan</t>
  </si>
  <si>
    <t>Asset Liability Management</t>
  </si>
  <si>
    <t>Manajemen Resiko Bank</t>
  </si>
  <si>
    <t>Bank dan Lembaga</t>
  </si>
  <si>
    <t>Lab Bank Mini</t>
  </si>
  <si>
    <t>Keuangan Lainnya</t>
  </si>
  <si>
    <t>Manajemen Bank Syariah</t>
  </si>
  <si>
    <t xml:space="preserve">Lab Bank Mini </t>
  </si>
  <si>
    <t>Syariah</t>
  </si>
  <si>
    <t xml:space="preserve">Akuntansi Bank syariah </t>
  </si>
  <si>
    <t>Akuntansi Forensik &amp;</t>
  </si>
  <si>
    <t>EDP Audit dan Lab</t>
  </si>
  <si>
    <t>Perekonomian</t>
  </si>
  <si>
    <t>AUDITING II</t>
  </si>
  <si>
    <t>Audit Investigasi</t>
  </si>
  <si>
    <t>Ilmu Ekonomi</t>
  </si>
  <si>
    <t>Indonesia</t>
  </si>
  <si>
    <t xml:space="preserve">Seminar  Auditing </t>
  </si>
  <si>
    <t>AUDITING INTERNAL</t>
  </si>
  <si>
    <t>Good Corporate Government</t>
  </si>
  <si>
    <t>AKUNTANSI BIAYA</t>
  </si>
  <si>
    <t>Lab. Akuntansi  Biaya</t>
  </si>
  <si>
    <t>AKUNTANSI MANAJEMEN</t>
  </si>
  <si>
    <t>Strategi Manajemen Biaya</t>
  </si>
  <si>
    <t>Seminar  Akuntansi Manajemen</t>
  </si>
  <si>
    <t>P. Aplikasi Komputer</t>
  </si>
  <si>
    <t>SISTEM INFORMASI AKUNTANSI II</t>
  </si>
  <si>
    <t>Seminar  Sistem Inf.</t>
  </si>
  <si>
    <t>Bahasa Inggris</t>
  </si>
  <si>
    <t>Bahasa Inggris untuk</t>
  </si>
  <si>
    <t>Sistem Pendukung</t>
  </si>
  <si>
    <t>untuk Ekonomi</t>
  </si>
  <si>
    <t>Untuk Bisnis</t>
  </si>
  <si>
    <t>Tujuan Profesi</t>
  </si>
  <si>
    <t>Pengambilan Keputusan</t>
  </si>
  <si>
    <t>MATEMATIKA BISNIS</t>
  </si>
  <si>
    <t>STATISTIK INFERENSIAL &amp; LAB</t>
  </si>
  <si>
    <t>METODOLOGI PENELITIAN</t>
  </si>
  <si>
    <t>Skripsi atau Lap. Praktik/Magang Kerja</t>
  </si>
  <si>
    <t>Catatan:</t>
  </si>
  <si>
    <t>TOTAL  SKS</t>
  </si>
  <si>
    <t>Prasyarat menempuh mata kuliah lanjutannya C</t>
  </si>
  <si>
    <t>Lab 2 sks = 2 X 160 menit = 320 menit</t>
  </si>
  <si>
    <t>Prasyarat menempuh mata kuliah lanjutannya D</t>
  </si>
  <si>
    <t>Terdapat 8 Mata Kuliah Konsentrasi yang berwana (pilih salah satu)</t>
  </si>
  <si>
    <r>
      <t xml:space="preserve">*  Mata Kuliah UPM (Ujian Pengendali Mutu) ditulis dengan huruf </t>
    </r>
    <r>
      <rPr>
        <b/>
        <sz val="10"/>
        <rFont val="Arial"/>
        <family val="2"/>
      </rPr>
      <t>KAPITAL</t>
    </r>
  </si>
  <si>
    <t>EDP / IS Audit (Lab.)</t>
  </si>
  <si>
    <t xml:space="preserve">Praktikum Bank Mini </t>
  </si>
  <si>
    <t>Syariah (Lab.)</t>
  </si>
  <si>
    <r>
      <t xml:space="preserve">*  Mata Kuliah UPM (Ujian Pengendali Mutu) ditulis dengan huruf tebal dan </t>
    </r>
    <r>
      <rPr>
        <b/>
        <sz val="10"/>
        <rFont val="Arial"/>
        <family val="2"/>
      </rPr>
      <t>KAPITAL</t>
    </r>
  </si>
  <si>
    <t>Kewirausahaan</t>
  </si>
  <si>
    <t xml:space="preserve">Proyek </t>
  </si>
  <si>
    <t>Sistem Informasi</t>
  </si>
  <si>
    <t xml:space="preserve">Sistem Informasi Akuntansi </t>
  </si>
  <si>
    <t>Peng. Aplikasi Komputer</t>
  </si>
  <si>
    <t>PENDIDIKAN AGAMA</t>
  </si>
  <si>
    <t>SISTEM TRANSAKSI KEUANGAN DIGITAL</t>
  </si>
  <si>
    <t>AKUNTANSI SEKTOR PUBLIK</t>
  </si>
  <si>
    <t xml:space="preserve">                         PROGRAM STUDI S-1  AKUNTANSI PERBANAS INSTITUTE -  TAHUN 2019</t>
  </si>
  <si>
    <t>Dosen Pengusul</t>
  </si>
  <si>
    <t>PENGANTAR MANAJEMEN (UPM)</t>
  </si>
  <si>
    <t>EKM 2051</t>
  </si>
  <si>
    <t>Usulan Tim Dosen </t>
  </si>
  <si>
    <t>PENDIDIKAN AGAMA (UPM)</t>
  </si>
  <si>
    <t>MATEMATIKA BISNIS (UPM)</t>
  </si>
  <si>
    <t>PENGANTAR AKUNTANSI II (UPM)</t>
  </si>
  <si>
    <t>BAHASA INDONESIA (UPM)</t>
  </si>
  <si>
    <t>PENDIDIKAN PANCASILA &amp; KEWARNEGARAAN (UPM)</t>
  </si>
  <si>
    <t>AKUNTANSI BIAYA (UPM)</t>
  </si>
  <si>
    <t>Sistem Informasi  Manajemen</t>
  </si>
  <si>
    <t>STATISTIK INFERENSIAL &amp; LAB. (UPM)</t>
  </si>
  <si>
    <t>PERPAJAKAN II (UPM)</t>
  </si>
  <si>
    <t>AKUNTANSI MANAJEMEN (UPM)</t>
  </si>
  <si>
    <t>AKUNTANSI KEUANGAN MENENGAH II (UPM)</t>
  </si>
  <si>
    <t>EKA 4131</t>
  </si>
  <si>
    <t>Sistem Informasi Akuntansi</t>
  </si>
  <si>
    <t>Tim Dosen Sistem </t>
  </si>
  <si>
    <t>EKA 4075</t>
  </si>
  <si>
    <t>Tim Dosen Pajak</t>
  </si>
  <si>
    <t xml:space="preserve"> Manajemen Biaya   </t>
  </si>
  <si>
    <t>MANAJEMEN KEUANGAN II (UPM)</t>
  </si>
  <si>
    <t>AUDITING II (UPM)</t>
  </si>
  <si>
    <t> Tim Dosen Audit</t>
  </si>
  <si>
    <t>SISTEM TRANSAKSI KEUANGAN DIGITAL (UPM)</t>
  </si>
  <si>
    <t>AKUNTANSI KEUANGAN LANJUTAN II (UPM)</t>
  </si>
  <si>
    <t>AUDITING INTERNAL (UPM)</t>
  </si>
  <si>
    <r>
      <t>ANALISA LAPORAN KEUANGAN (UPM)</t>
    </r>
    <r>
      <rPr>
        <sz val="11"/>
        <color rgb="FF000000"/>
        <rFont val="Times New Roman"/>
        <family val="1"/>
      </rPr>
      <t xml:space="preserve"> </t>
    </r>
  </si>
  <si>
    <t>METODOLOGI PENELITIAN (UPM)</t>
  </si>
  <si>
    <t>EKA 5337</t>
  </si>
  <si>
    <t>Visualisasi Data  dan Pengambilan Keputusan*</t>
  </si>
  <si>
    <t>MANAJEMEN STRATEGI (UPM)</t>
  </si>
  <si>
    <t>ETIKA BISNIS DAN PROFESI (UPM)</t>
  </si>
  <si>
    <t>TEORI AKUNTANSI (UPM)</t>
  </si>
  <si>
    <t>AKUNTANSI SEKTOR PUBLIK (UPM)</t>
  </si>
  <si>
    <t>EKA 5345</t>
  </si>
  <si>
    <t>EDP/IS Audit (Lab.)</t>
  </si>
  <si>
    <t>Tim Dosen Audit </t>
  </si>
  <si>
    <t>Sumber: Prodi Akuntansi Fakultas Ekonomi &amp; Bisnis Institut Perbanas</t>
  </si>
  <si>
    <t>KURIKULUM 2019</t>
  </si>
  <si>
    <t xml:space="preserve">AKUNTANSI BIAYA (UPM) </t>
  </si>
  <si>
    <t>Lab Pajak</t>
  </si>
  <si>
    <t xml:space="preserve">Manajemen Biaya  </t>
  </si>
  <si>
    <t>EKA 4140</t>
  </si>
  <si>
    <t>SISTEM INFORMASI AKUNTANSI II (UPM))</t>
  </si>
  <si>
    <t>EKM 4211</t>
  </si>
  <si>
    <t>Mata Kuliah Konsentrasi sbb :</t>
  </si>
  <si>
    <r>
      <t>a.</t>
    </r>
    <r>
      <rPr>
        <i/>
        <sz val="7"/>
        <color rgb="FF000000"/>
        <rFont val="Times New Roman"/>
        <family val="1"/>
      </rPr>
      <t xml:space="preserve">        </t>
    </r>
    <r>
      <rPr>
        <i/>
        <sz val="9"/>
        <color rgb="FF000000"/>
        <rFont val="Times New Roman"/>
        <family val="1"/>
      </rPr>
      <t>Konsentrasi Akuntasi Keuangan</t>
    </r>
  </si>
  <si>
    <r>
      <t>b.</t>
    </r>
    <r>
      <rPr>
        <i/>
        <sz val="7"/>
        <color rgb="FF000000"/>
        <rFont val="Times New Roman"/>
        <family val="1"/>
      </rPr>
      <t xml:space="preserve">        </t>
    </r>
    <r>
      <rPr>
        <i/>
        <sz val="9"/>
        <color rgb="FF000000"/>
        <rFont val="Times New Roman"/>
        <family val="1"/>
      </rPr>
      <t>Konsentrasi Akuntasi Manajemen</t>
    </r>
  </si>
  <si>
    <r>
      <t>c.</t>
    </r>
    <r>
      <rPr>
        <i/>
        <sz val="7"/>
        <color rgb="FF000000"/>
        <rFont val="Times New Roman"/>
        <family val="1"/>
      </rPr>
      <t xml:space="preserve">        </t>
    </r>
    <r>
      <rPr>
        <i/>
        <sz val="9"/>
        <color rgb="FF000000"/>
        <rFont val="Times New Roman"/>
        <family val="1"/>
      </rPr>
      <t>Konsentrasi  Auditing</t>
    </r>
  </si>
  <si>
    <r>
      <t>d.</t>
    </r>
    <r>
      <rPr>
        <i/>
        <sz val="7"/>
        <color rgb="FF000000"/>
        <rFont val="Times New Roman"/>
        <family val="1"/>
      </rPr>
      <t xml:space="preserve">        </t>
    </r>
    <r>
      <rPr>
        <i/>
        <sz val="9"/>
        <color rgb="FF000000"/>
        <rFont val="Times New Roman"/>
        <family val="1"/>
      </rPr>
      <t>Konsentrasi  Auditing Internal</t>
    </r>
  </si>
  <si>
    <r>
      <t>e.</t>
    </r>
    <r>
      <rPr>
        <i/>
        <sz val="7"/>
        <color rgb="FF000000"/>
        <rFont val="Times New Roman"/>
        <family val="1"/>
      </rPr>
      <t xml:space="preserve">        </t>
    </r>
    <r>
      <rPr>
        <i/>
        <sz val="9"/>
        <color rgb="FF000000"/>
        <rFont val="Times New Roman"/>
        <family val="1"/>
      </rPr>
      <t>Konsentrasi  Perpajakan</t>
    </r>
  </si>
  <si>
    <r>
      <t>f.</t>
    </r>
    <r>
      <rPr>
        <i/>
        <sz val="7"/>
        <color rgb="FF000000"/>
        <rFont val="Times New Roman"/>
        <family val="1"/>
      </rPr>
      <t xml:space="preserve">         </t>
    </r>
    <r>
      <rPr>
        <i/>
        <sz val="9"/>
        <color rgb="FF000000"/>
        <rFont val="Times New Roman"/>
        <family val="1"/>
      </rPr>
      <t>Konsentrasi  Sistem Informasi</t>
    </r>
  </si>
  <si>
    <r>
      <t>g.</t>
    </r>
    <r>
      <rPr>
        <i/>
        <sz val="7"/>
        <color rgb="FF000000"/>
        <rFont val="Times New Roman"/>
        <family val="1"/>
      </rPr>
      <t xml:space="preserve">        </t>
    </r>
    <r>
      <rPr>
        <i/>
        <sz val="9"/>
        <color rgb="FF000000"/>
        <rFont val="Times New Roman"/>
        <family val="1"/>
      </rPr>
      <t>Konsentrasi  Bank Umum (Konvensional)</t>
    </r>
  </si>
  <si>
    <r>
      <t xml:space="preserve">h.         </t>
    </r>
    <r>
      <rPr>
        <i/>
        <sz val="9"/>
        <color rgb="FF000000"/>
        <rFont val="Times New Roman"/>
        <family val="1"/>
      </rPr>
      <t>Konsentrasi  Bank Syariah</t>
    </r>
  </si>
  <si>
    <t>Analisis Investasi dan Portofolio*</t>
  </si>
  <si>
    <t>EKA 4200</t>
  </si>
  <si>
    <t>AKUNTANS INTERNASIONAL</t>
  </si>
  <si>
    <t>Mata Kulia Konsentrasi sbb:</t>
  </si>
  <si>
    <t>Total SKS</t>
  </si>
  <si>
    <t>KURIKULUM 2015</t>
  </si>
  <si>
    <t>EKA 2051</t>
  </si>
  <si>
    <t>Visualisasi Data dan Pengambilan Keputusan</t>
  </si>
  <si>
    <t>Visualisasi Data dan Pengambilan Keputusan*</t>
  </si>
  <si>
    <t>EKA 5344</t>
  </si>
  <si>
    <t>EKA 5314</t>
  </si>
  <si>
    <t>EKF 5326</t>
  </si>
  <si>
    <t>PERBANDINGAN KEDUA KURIKULUM</t>
  </si>
  <si>
    <t>BARU II</t>
  </si>
  <si>
    <t>EKM 192050</t>
  </si>
  <si>
    <t>EKM 192051</t>
  </si>
  <si>
    <t>EKA 192041</t>
  </si>
  <si>
    <t>EKU 192082</t>
  </si>
  <si>
    <t>MPK 191020</t>
  </si>
  <si>
    <t>EKF 192010</t>
  </si>
  <si>
    <t>MKK 193021</t>
  </si>
  <si>
    <t>MKK 193034</t>
  </si>
  <si>
    <t>EKM 192060</t>
  </si>
  <si>
    <t>EKA 192042</t>
  </si>
  <si>
    <t>EKA 192043</t>
  </si>
  <si>
    <t>MKK 193010</t>
  </si>
  <si>
    <t>EKF 192030</t>
  </si>
  <si>
    <t>MPK 191011</t>
  </si>
  <si>
    <t>MKK 193022</t>
  </si>
  <si>
    <t>MKK 193041</t>
  </si>
  <si>
    <t>EKA 194070</t>
  </si>
  <si>
    <t>EKA 194030</t>
  </si>
  <si>
    <t>EKA 194031</t>
  </si>
  <si>
    <t>EKA 194011</t>
  </si>
  <si>
    <t>EKF 194150</t>
  </si>
  <si>
    <t>MKK 193023</t>
  </si>
  <si>
    <t>MKK 193042</t>
  </si>
  <si>
    <t>EKA 192070</t>
  </si>
  <si>
    <t>EKA 194072</t>
  </si>
  <si>
    <t>EKA 194040</t>
  </si>
  <si>
    <t>EKA 194012</t>
  </si>
  <si>
    <t>EKA 194013</t>
  </si>
  <si>
    <t>EKF 194101</t>
  </si>
  <si>
    <t>EKA 194161</t>
  </si>
  <si>
    <t>EKA 194131</t>
  </si>
  <si>
    <t>EKA 194050</t>
  </si>
  <si>
    <t>EKA 194022</t>
  </si>
  <si>
    <t>EKF 194102</t>
  </si>
  <si>
    <t>EKA 194162</t>
  </si>
  <si>
    <t>EKA 194141</t>
  </si>
  <si>
    <t>EKA 194221</t>
  </si>
  <si>
    <t>EKA 194060</t>
  </si>
  <si>
    <t>EKA 194021</t>
  </si>
  <si>
    <t>EKM 194201</t>
  </si>
  <si>
    <t>EKA 194170</t>
  </si>
  <si>
    <t>EKF 194110</t>
  </si>
  <si>
    <t>EKA 193050</t>
  </si>
  <si>
    <t>EKA 195341</t>
  </si>
  <si>
    <t>EKA 195311</t>
  </si>
  <si>
    <t>EKA 195322</t>
  </si>
  <si>
    <t>EKA 195337</t>
  </si>
  <si>
    <t>EKA 195353</t>
  </si>
  <si>
    <t>EKA 195356</t>
  </si>
  <si>
    <t>EKA 195361</t>
  </si>
  <si>
    <t>EKM 194180</t>
  </si>
  <si>
    <t>EKU 191040</t>
  </si>
  <si>
    <t>EKA 194190</t>
  </si>
  <si>
    <t>EKA 194211</t>
  </si>
  <si>
    <t>EKA 4163</t>
  </si>
  <si>
    <t>EKA 194163</t>
  </si>
  <si>
    <t>EKA 195342</t>
  </si>
  <si>
    <t>EKA 195345</t>
  </si>
  <si>
    <t>EKA 195312</t>
  </si>
  <si>
    <t>EKA 195313</t>
  </si>
  <si>
    <t>EKA 195321</t>
  </si>
  <si>
    <t>EKA 195323</t>
  </si>
  <si>
    <t>EKF 195325</t>
  </si>
  <si>
    <t>EKA 195327</t>
  </si>
  <si>
    <t>EKA 195335</t>
  </si>
  <si>
    <t>EKA 195334</t>
  </si>
  <si>
    <t>EKA 195351</t>
  </si>
  <si>
    <t>EKA 195354</t>
  </si>
  <si>
    <t>EKA 195357</t>
  </si>
  <si>
    <t>EKA 195355</t>
  </si>
  <si>
    <t>EKA 195360</t>
  </si>
  <si>
    <t>EKA 194075</t>
  </si>
  <si>
    <t>EKA 194113</t>
  </si>
  <si>
    <t>KEBIJAKAN PENYETARAAN</t>
  </si>
  <si>
    <t>Kode MK</t>
  </si>
  <si>
    <t>SISTEM INFORMASI AKUNTANSI II (UPM)</t>
  </si>
  <si>
    <t>sks</t>
  </si>
  <si>
    <t>PENERAPAN KURIKULUM 2019 PRODI S-1 AKUNTANSI</t>
  </si>
  <si>
    <t>Semester</t>
  </si>
  <si>
    <t>Visualisasi Data 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</si>
</sst>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i/>
      <sz val="7"/>
      <name val="Verdana"/>
      <family val="2"/>
    </font>
    <font>
      <sz val="10"/>
      <name val="Arial Black"/>
      <family val="2"/>
    </font>
    <font>
      <b/>
      <sz val="10"/>
      <name val="Calibri"/>
      <family val="2"/>
      <scheme val="minor"/>
    </font>
    <font>
      <sz val="9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72"/>
      <name val="Arial"/>
      <family val="2"/>
    </font>
    <font>
      <b/>
      <u/>
      <sz val="10"/>
      <name val="Arial"/>
      <family val="2"/>
    </font>
    <font>
      <i/>
      <sz val="13"/>
      <name val="Blackadder ITC"/>
      <family val="5"/>
    </font>
    <font>
      <b/>
      <sz val="11"/>
      <name val="Arial Black"/>
      <family val="2"/>
    </font>
    <font>
      <sz val="12"/>
      <name val="Arial Black"/>
      <family val="2"/>
    </font>
    <font>
      <sz val="11"/>
      <name val="Arial"/>
      <family val="2"/>
    </font>
    <font>
      <b/>
      <sz val="6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538DD5"/>
      <name val="Times New Roman"/>
      <family val="1"/>
    </font>
    <font>
      <b/>
      <i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FFFFFF"/>
      <name val="Times New Roman"/>
      <family val="1"/>
    </font>
    <font>
      <i/>
      <sz val="9"/>
      <color rgb="FF000000"/>
      <name val="Times New Roman"/>
      <family val="1"/>
    </font>
    <font>
      <i/>
      <sz val="7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theme="1"/>
      <name val="Times New Roman"/>
      <family val="1"/>
    </font>
    <font>
      <sz val="11"/>
      <name val="Times New Roman"/>
      <family val="1"/>
    </font>
    <font>
      <b/>
      <sz val="1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52">
    <xf numFmtId="0" fontId="0" fillId="0" borderId="0" xfId="0"/>
    <xf numFmtId="0" fontId="0" fillId="0" borderId="0" xfId="0" applyAlignment="1">
      <alignment horizontal="center"/>
    </xf>
    <xf numFmtId="0" fontId="3" fillId="8" borderId="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/>
    <xf numFmtId="0" fontId="4" fillId="0" borderId="0" xfId="0" applyFont="1" applyBorder="1" applyAlignment="1">
      <alignment horizontal="center" vertical="center" wrapText="1"/>
    </xf>
    <xf numFmtId="0" fontId="0" fillId="0" borderId="5" xfId="0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6" borderId="0" xfId="0" applyFill="1" applyBorder="1" applyAlignment="1">
      <alignment horizontal="center"/>
    </xf>
    <xf numFmtId="0" fontId="0" fillId="6" borderId="0" xfId="0" applyFill="1" applyBorder="1"/>
    <xf numFmtId="0" fontId="0" fillId="7" borderId="0" xfId="0" applyFill="1" applyBorder="1" applyAlignment="1">
      <alignment horizontal="center"/>
    </xf>
    <xf numFmtId="0" fontId="0" fillId="7" borderId="0" xfId="0" applyFill="1" applyBorder="1"/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9" borderId="0" xfId="0" applyFill="1" applyBorder="1" applyAlignment="1">
      <alignment horizontal="center"/>
    </xf>
    <xf numFmtId="0" fontId="0" fillId="9" borderId="0" xfId="0" applyFill="1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4" fillId="0" borderId="0" xfId="0" applyFont="1" applyBorder="1" applyAlignment="1">
      <alignment horizontal="center" wrapText="1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 wrapText="1"/>
    </xf>
    <xf numFmtId="0" fontId="7" fillId="0" borderId="0" xfId="1" applyFont="1" applyFill="1" applyAlignment="1">
      <alignment horizontal="left" shrinkToFit="1"/>
    </xf>
    <xf numFmtId="0" fontId="5" fillId="0" borderId="0" xfId="1" applyFont="1" applyFill="1" applyAlignment="1">
      <alignment horizontal="center"/>
    </xf>
    <xf numFmtId="0" fontId="5" fillId="0" borderId="0" xfId="1" applyFont="1" applyFill="1"/>
    <xf numFmtId="0" fontId="8" fillId="0" borderId="0" xfId="1" applyFont="1" applyFill="1"/>
    <xf numFmtId="0" fontId="5" fillId="0" borderId="0" xfId="1" applyFont="1"/>
    <xf numFmtId="0" fontId="9" fillId="0" borderId="0" xfId="1" applyFont="1" applyFill="1" applyAlignment="1">
      <alignment horizontal="center"/>
    </xf>
    <xf numFmtId="0" fontId="9" fillId="0" borderId="0" xfId="1" applyFont="1" applyFill="1"/>
    <xf numFmtId="0" fontId="9" fillId="0" borderId="0" xfId="1" applyFont="1"/>
    <xf numFmtId="0" fontId="7" fillId="0" borderId="0" xfId="1" applyFont="1" applyFill="1"/>
    <xf numFmtId="0" fontId="5" fillId="0" borderId="0" xfId="1" applyFont="1" applyFill="1" applyAlignment="1">
      <alignment shrinkToFit="1"/>
    </xf>
    <xf numFmtId="0" fontId="10" fillId="0" borderId="12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vertical="center"/>
    </xf>
    <xf numFmtId="0" fontId="10" fillId="0" borderId="12" xfId="1" applyFont="1" applyFill="1" applyBorder="1" applyAlignment="1">
      <alignment horizontal="center" vertical="center" shrinkToFit="1"/>
    </xf>
    <xf numFmtId="0" fontId="7" fillId="0" borderId="0" xfId="1" applyFont="1" applyFill="1" applyBorder="1" applyAlignment="1">
      <alignment horizontal="center" vertical="center"/>
    </xf>
    <xf numFmtId="0" fontId="5" fillId="0" borderId="0" xfId="1" applyFont="1" applyBorder="1"/>
    <xf numFmtId="0" fontId="5" fillId="0" borderId="0" xfId="1" applyFont="1" applyFill="1" applyBorder="1"/>
    <xf numFmtId="0" fontId="5" fillId="0" borderId="0" xfId="1" applyFont="1" applyFill="1" applyBorder="1" applyAlignment="1">
      <alignment shrinkToFit="1"/>
    </xf>
    <xf numFmtId="0" fontId="5" fillId="0" borderId="0" xfId="1" applyFont="1" applyFill="1" applyBorder="1" applyAlignment="1">
      <alignment horizontal="center"/>
    </xf>
    <xf numFmtId="0" fontId="7" fillId="0" borderId="15" xfId="1" applyFont="1" applyFill="1" applyBorder="1" applyAlignment="1">
      <alignment horizontal="center" vertical="center" shrinkToFit="1"/>
    </xf>
    <xf numFmtId="0" fontId="7" fillId="0" borderId="15" xfId="1" applyFont="1" applyFill="1" applyBorder="1" applyAlignment="1">
      <alignment horizontal="center" vertical="center"/>
    </xf>
    <xf numFmtId="0" fontId="5" fillId="0" borderId="0" xfId="1" quotePrefix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5" xfId="1" applyFont="1" applyFill="1" applyBorder="1" applyAlignment="1">
      <alignment horizontal="center" vertical="center" shrinkToFit="1"/>
    </xf>
    <xf numFmtId="0" fontId="5" fillId="0" borderId="15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5" fillId="0" borderId="0" xfId="1" applyFont="1" applyAlignment="1">
      <alignment horizontal="center" vertical="center" shrinkToFit="1"/>
    </xf>
    <xf numFmtId="0" fontId="5" fillId="10" borderId="15" xfId="1" applyFont="1" applyFill="1" applyBorder="1" applyAlignment="1">
      <alignment horizontal="center" vertical="center" shrinkToFit="1"/>
    </xf>
    <xf numFmtId="0" fontId="5" fillId="10" borderId="15" xfId="1" applyFont="1" applyFill="1" applyBorder="1" applyAlignment="1">
      <alignment horizontal="center" vertical="center"/>
    </xf>
    <xf numFmtId="0" fontId="5" fillId="11" borderId="0" xfId="1" applyFont="1" applyFill="1" applyBorder="1" applyAlignment="1">
      <alignment horizontal="center" vertical="center" shrinkToFit="1"/>
    </xf>
    <xf numFmtId="0" fontId="5" fillId="11" borderId="0" xfId="1" applyFont="1" applyFill="1" applyBorder="1" applyAlignment="1">
      <alignment horizontal="center" vertical="center"/>
    </xf>
    <xf numFmtId="0" fontId="5" fillId="11" borderId="16" xfId="1" applyFont="1" applyFill="1" applyBorder="1" applyAlignment="1">
      <alignment horizontal="center" vertical="center" shrinkToFit="1"/>
    </xf>
    <xf numFmtId="0" fontId="5" fillId="11" borderId="16" xfId="1" applyFont="1" applyFill="1" applyBorder="1" applyAlignment="1">
      <alignment horizontal="center" vertical="center"/>
    </xf>
    <xf numFmtId="0" fontId="11" fillId="10" borderId="15" xfId="1" applyFont="1" applyFill="1" applyBorder="1" applyAlignment="1">
      <alignment horizontal="center" vertical="center" shrinkToFit="1"/>
    </xf>
    <xf numFmtId="0" fontId="5" fillId="0" borderId="0" xfId="1" applyFont="1" applyFill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11" borderId="15" xfId="1" applyFont="1" applyFill="1" applyBorder="1" applyAlignment="1">
      <alignment horizontal="center" vertical="center" shrinkToFit="1"/>
    </xf>
    <xf numFmtId="0" fontId="5" fillId="11" borderId="15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 shrinkToFit="1"/>
    </xf>
    <xf numFmtId="0" fontId="5" fillId="0" borderId="0" xfId="1" applyFont="1" applyFill="1" applyAlignment="1">
      <alignment horizontal="center" vertical="center" shrinkToFit="1"/>
    </xf>
    <xf numFmtId="0" fontId="7" fillId="0" borderId="19" xfId="1" applyFont="1" applyFill="1" applyBorder="1" applyAlignment="1">
      <alignment horizontal="center" vertical="center"/>
    </xf>
    <xf numFmtId="0" fontId="7" fillId="0" borderId="19" xfId="1" applyFont="1" applyFill="1" applyBorder="1" applyAlignment="1">
      <alignment vertical="center"/>
    </xf>
    <xf numFmtId="0" fontId="5" fillId="11" borderId="17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 shrinkToFit="1"/>
    </xf>
    <xf numFmtId="0" fontId="5" fillId="12" borderId="15" xfId="1" applyFont="1" applyFill="1" applyBorder="1" applyAlignment="1">
      <alignment horizontal="center" vertical="center" shrinkToFit="1"/>
    </xf>
    <xf numFmtId="0" fontId="5" fillId="12" borderId="15" xfId="1" applyFont="1" applyFill="1" applyBorder="1" applyAlignment="1">
      <alignment horizontal="center" vertical="center"/>
    </xf>
    <xf numFmtId="0" fontId="5" fillId="11" borderId="18" xfId="1" applyFont="1" applyFill="1" applyBorder="1" applyAlignment="1">
      <alignment horizontal="center" vertical="center"/>
    </xf>
    <xf numFmtId="0" fontId="7" fillId="0" borderId="18" xfId="1" applyFont="1" applyFill="1" applyBorder="1" applyAlignment="1">
      <alignment horizontal="center" vertical="center" shrinkToFit="1"/>
    </xf>
    <xf numFmtId="0" fontId="7" fillId="0" borderId="20" xfId="1" applyFont="1" applyFill="1" applyBorder="1" applyAlignment="1">
      <alignment horizontal="center" vertical="center" shrinkToFit="1"/>
    </xf>
    <xf numFmtId="0" fontId="7" fillId="0" borderId="21" xfId="1" applyFont="1" applyFill="1" applyBorder="1" applyAlignment="1">
      <alignment horizontal="center" vertical="center" shrinkToFit="1"/>
    </xf>
    <xf numFmtId="0" fontId="5" fillId="13" borderId="15" xfId="1" applyFont="1" applyFill="1" applyBorder="1" applyAlignment="1">
      <alignment horizontal="center" vertical="center" shrinkToFit="1"/>
    </xf>
    <xf numFmtId="0" fontId="5" fillId="13" borderId="15" xfId="1" applyFont="1" applyFill="1" applyBorder="1" applyAlignment="1">
      <alignment horizontal="center" vertical="center"/>
    </xf>
    <xf numFmtId="0" fontId="12" fillId="13" borderId="15" xfId="1" applyFont="1" applyFill="1" applyBorder="1" applyAlignment="1">
      <alignment horizontal="center" vertical="center" shrinkToFit="1"/>
    </xf>
    <xf numFmtId="0" fontId="5" fillId="0" borderId="20" xfId="1" applyFont="1" applyFill="1" applyBorder="1" applyAlignment="1">
      <alignment horizontal="center" vertical="center" shrinkToFit="1"/>
    </xf>
    <xf numFmtId="0" fontId="5" fillId="11" borderId="19" xfId="1" applyFont="1" applyFill="1" applyBorder="1" applyAlignment="1">
      <alignment horizontal="center" vertical="center" shrinkToFit="1"/>
    </xf>
    <xf numFmtId="0" fontId="5" fillId="11" borderId="19" xfId="1" applyFont="1" applyFill="1" applyBorder="1" applyAlignment="1">
      <alignment horizontal="center" vertical="center"/>
    </xf>
    <xf numFmtId="0" fontId="5" fillId="0" borderId="21" xfId="1" applyFont="1" applyBorder="1" applyAlignment="1">
      <alignment horizontal="center" vertical="center" shrinkToFit="1"/>
    </xf>
    <xf numFmtId="0" fontId="5" fillId="0" borderId="19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 shrinkToFit="1"/>
    </xf>
    <xf numFmtId="0" fontId="5" fillId="4" borderId="15" xfId="1" applyFont="1" applyFill="1" applyBorder="1" applyAlignment="1">
      <alignment horizontal="center" vertical="center" shrinkToFit="1"/>
    </xf>
    <xf numFmtId="0" fontId="5" fillId="4" borderId="15" xfId="1" applyFont="1" applyFill="1" applyBorder="1" applyAlignment="1">
      <alignment horizontal="center" vertical="center"/>
    </xf>
    <xf numFmtId="0" fontId="5" fillId="4" borderId="20" xfId="1" applyFont="1" applyFill="1" applyBorder="1" applyAlignment="1">
      <alignment horizontal="center" vertical="center" shrinkToFit="1"/>
    </xf>
    <xf numFmtId="0" fontId="5" fillId="4" borderId="21" xfId="1" applyFont="1" applyFill="1" applyBorder="1" applyAlignment="1">
      <alignment horizontal="center" vertical="center" shrinkToFit="1"/>
    </xf>
    <xf numFmtId="0" fontId="5" fillId="14" borderId="20" xfId="1" applyFont="1" applyFill="1" applyBorder="1" applyAlignment="1">
      <alignment horizontal="center" vertical="center" shrinkToFit="1"/>
    </xf>
    <xf numFmtId="0" fontId="5" fillId="0" borderId="0" xfId="1" applyFont="1" applyBorder="1" applyAlignment="1">
      <alignment horizontal="center" vertical="center"/>
    </xf>
    <xf numFmtId="0" fontId="5" fillId="14" borderId="15" xfId="1" applyFont="1" applyFill="1" applyBorder="1" applyAlignment="1">
      <alignment horizontal="center" vertical="center" shrinkToFit="1"/>
    </xf>
    <xf numFmtId="0" fontId="5" fillId="14" borderId="15" xfId="1" applyFont="1" applyFill="1" applyBorder="1" applyAlignment="1">
      <alignment horizontal="center" vertical="center"/>
    </xf>
    <xf numFmtId="0" fontId="5" fillId="14" borderId="21" xfId="1" applyFont="1" applyFill="1" applyBorder="1" applyAlignment="1">
      <alignment horizontal="center" vertical="center" shrinkToFit="1"/>
    </xf>
    <xf numFmtId="0" fontId="5" fillId="0" borderId="18" xfId="1" applyFont="1" applyFill="1" applyBorder="1" applyAlignment="1">
      <alignment horizontal="center" vertical="center" shrinkToFit="1"/>
    </xf>
    <xf numFmtId="0" fontId="5" fillId="0" borderId="16" xfId="1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shrinkToFit="1"/>
    </xf>
    <xf numFmtId="0" fontId="5" fillId="2" borderId="15" xfId="1" applyFont="1" applyFill="1" applyBorder="1" applyAlignment="1">
      <alignment horizontal="center" vertical="center"/>
    </xf>
    <xf numFmtId="0" fontId="5" fillId="15" borderId="15" xfId="1" applyFont="1" applyFill="1" applyBorder="1" applyAlignment="1">
      <alignment horizontal="center" vertical="center" shrinkToFit="1"/>
    </xf>
    <xf numFmtId="0" fontId="5" fillId="15" borderId="15" xfId="1" applyFont="1" applyFill="1" applyBorder="1" applyAlignment="1">
      <alignment horizontal="center" vertical="center"/>
    </xf>
    <xf numFmtId="0" fontId="7" fillId="11" borderId="0" xfId="1" applyFont="1" applyFill="1" applyBorder="1" applyAlignment="1">
      <alignment horizontal="center" vertical="center" shrinkToFit="1"/>
    </xf>
    <xf numFmtId="0" fontId="13" fillId="0" borderId="15" xfId="1" applyFont="1" applyFill="1" applyBorder="1" applyAlignment="1">
      <alignment horizontal="center" vertical="center" shrinkToFit="1"/>
    </xf>
    <xf numFmtId="0" fontId="5" fillId="16" borderId="15" xfId="1" applyFont="1" applyFill="1" applyBorder="1" applyAlignment="1">
      <alignment horizontal="center" vertical="center" shrinkToFit="1"/>
    </xf>
    <xf numFmtId="0" fontId="5" fillId="16" borderId="15" xfId="1" applyFont="1" applyFill="1" applyBorder="1" applyAlignment="1">
      <alignment horizontal="center" vertical="center"/>
    </xf>
    <xf numFmtId="0" fontId="5" fillId="11" borderId="20" xfId="1" applyFont="1" applyFill="1" applyBorder="1" applyAlignment="1">
      <alignment horizontal="center" vertical="center" shrinkToFit="1"/>
    </xf>
    <xf numFmtId="0" fontId="5" fillId="11" borderId="17" xfId="1" applyFont="1" applyFill="1" applyBorder="1" applyAlignment="1">
      <alignment horizontal="center" vertical="center" shrinkToFit="1"/>
    </xf>
    <xf numFmtId="0" fontId="14" fillId="16" borderId="17" xfId="1" applyFont="1" applyFill="1" applyBorder="1" applyAlignment="1">
      <alignment horizontal="center" vertical="center" shrinkToFit="1"/>
    </xf>
    <xf numFmtId="0" fontId="5" fillId="11" borderId="21" xfId="1" applyFont="1" applyFill="1" applyBorder="1" applyAlignment="1">
      <alignment horizontal="center" vertical="center" shrinkToFit="1"/>
    </xf>
    <xf numFmtId="0" fontId="5" fillId="0" borderId="21" xfId="1" applyFont="1" applyFill="1" applyBorder="1" applyAlignment="1">
      <alignment horizontal="center" vertical="center" shrinkToFit="1"/>
    </xf>
    <xf numFmtId="0" fontId="5" fillId="16" borderId="18" xfId="1" applyFont="1" applyFill="1" applyBorder="1" applyAlignment="1">
      <alignment horizontal="center" vertical="center" shrinkToFit="1"/>
    </xf>
    <xf numFmtId="0" fontId="7" fillId="0" borderId="22" xfId="1" applyFont="1" applyFill="1" applyBorder="1" applyAlignment="1">
      <alignment horizontal="center" vertical="center" shrinkToFit="1"/>
    </xf>
    <xf numFmtId="0" fontId="7" fillId="0" borderId="22" xfId="1" applyFont="1" applyFill="1" applyBorder="1" applyAlignment="1">
      <alignment vertical="center"/>
    </xf>
    <xf numFmtId="0" fontId="7" fillId="0" borderId="18" xfId="1" applyFont="1" applyFill="1" applyBorder="1" applyAlignment="1">
      <alignment horizontal="center" vertical="center"/>
    </xf>
    <xf numFmtId="0" fontId="5" fillId="11" borderId="19" xfId="1" applyFont="1" applyFill="1" applyBorder="1"/>
    <xf numFmtId="0" fontId="5" fillId="11" borderId="0" xfId="1" applyFont="1" applyFill="1" applyBorder="1" applyAlignment="1">
      <alignment shrinkToFit="1"/>
    </xf>
    <xf numFmtId="0" fontId="5" fillId="11" borderId="0" xfId="1" applyFont="1" applyFill="1" applyBorder="1"/>
    <xf numFmtId="0" fontId="5" fillId="11" borderId="0" xfId="1" applyFont="1" applyFill="1" applyBorder="1" applyAlignment="1">
      <alignment horizontal="center"/>
    </xf>
    <xf numFmtId="0" fontId="7" fillId="0" borderId="0" xfId="1" applyFont="1" applyFill="1" applyBorder="1"/>
    <xf numFmtId="0" fontId="7" fillId="0" borderId="0" xfId="1" applyFont="1" applyFill="1" applyBorder="1" applyAlignment="1">
      <alignment vertical="center" shrinkToFit="1"/>
    </xf>
    <xf numFmtId="0" fontId="7" fillId="0" borderId="0" xfId="1" applyFont="1"/>
    <xf numFmtId="0" fontId="15" fillId="0" borderId="0" xfId="1" applyFont="1"/>
    <xf numFmtId="0" fontId="7" fillId="0" borderId="15" xfId="1" applyFont="1" applyBorder="1"/>
    <xf numFmtId="0" fontId="5" fillId="0" borderId="0" xfId="1" applyFont="1" applyAlignment="1">
      <alignment shrinkToFit="1"/>
    </xf>
    <xf numFmtId="0" fontId="5" fillId="0" borderId="0" xfId="1" applyFont="1" applyAlignment="1"/>
    <xf numFmtId="0" fontId="16" fillId="0" borderId="0" xfId="1" applyFont="1"/>
    <xf numFmtId="0" fontId="5" fillId="0" borderId="0" xfId="1" applyFont="1" applyAlignment="1">
      <alignment horizontal="center"/>
    </xf>
    <xf numFmtId="0" fontId="17" fillId="0" borderId="0" xfId="1" applyFont="1" applyFill="1" applyAlignment="1">
      <alignment horizontal="left" vertical="center"/>
    </xf>
    <xf numFmtId="0" fontId="12" fillId="0" borderId="0" xfId="1" applyFont="1" applyFill="1" applyAlignment="1">
      <alignment horizontal="center" vertical="center"/>
    </xf>
    <xf numFmtId="0" fontId="18" fillId="0" borderId="0" xfId="1" applyFont="1" applyFill="1" applyAlignment="1">
      <alignment horizontal="left" vertical="center"/>
    </xf>
    <xf numFmtId="0" fontId="7" fillId="0" borderId="0" xfId="1" applyFont="1" applyFill="1" applyBorder="1" applyAlignment="1">
      <alignment horizontal="center" vertical="center" shrinkToFit="1"/>
    </xf>
    <xf numFmtId="0" fontId="5" fillId="11" borderId="17" xfId="1" applyFont="1" applyFill="1" applyBorder="1" applyAlignment="1">
      <alignment horizontal="center" vertical="center"/>
    </xf>
    <xf numFmtId="0" fontId="5" fillId="11" borderId="18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7" fillId="0" borderId="18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19" fillId="11" borderId="15" xfId="1" applyFont="1" applyFill="1" applyBorder="1" applyAlignment="1">
      <alignment horizontal="center" vertical="center" shrinkToFit="1"/>
    </xf>
    <xf numFmtId="0" fontId="5" fillId="17" borderId="15" xfId="1" applyFont="1" applyFill="1" applyBorder="1" applyAlignment="1">
      <alignment horizontal="center" vertical="center" shrinkToFit="1"/>
    </xf>
    <xf numFmtId="0" fontId="5" fillId="17" borderId="15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 shrinkToFit="1"/>
    </xf>
    <xf numFmtId="0" fontId="5" fillId="7" borderId="15" xfId="1" applyFont="1" applyFill="1" applyBorder="1" applyAlignment="1">
      <alignment horizontal="center" vertical="center"/>
    </xf>
    <xf numFmtId="0" fontId="5" fillId="18" borderId="15" xfId="1" applyFont="1" applyFill="1" applyBorder="1" applyAlignment="1">
      <alignment horizontal="center" vertical="center" shrinkToFit="1"/>
    </xf>
    <xf numFmtId="0" fontId="5" fillId="18" borderId="15" xfId="1" applyFont="1" applyFill="1" applyBorder="1" applyAlignment="1">
      <alignment horizontal="center" vertical="center"/>
    </xf>
    <xf numFmtId="0" fontId="12" fillId="18" borderId="15" xfId="1" applyFont="1" applyFill="1" applyBorder="1" applyAlignment="1">
      <alignment horizontal="center" vertical="center" shrinkToFit="1"/>
    </xf>
    <xf numFmtId="0" fontId="5" fillId="19" borderId="15" xfId="1" applyFont="1" applyFill="1" applyBorder="1" applyAlignment="1">
      <alignment horizontal="center" vertical="center" shrinkToFit="1"/>
    </xf>
    <xf numFmtId="0" fontId="5" fillId="19" borderId="15" xfId="1" applyFont="1" applyFill="1" applyBorder="1" applyAlignment="1">
      <alignment horizontal="center" vertical="center"/>
    </xf>
    <xf numFmtId="0" fontId="19" fillId="19" borderId="15" xfId="1" applyFont="1" applyFill="1" applyBorder="1" applyAlignment="1">
      <alignment horizontal="center" vertical="center" shrinkToFit="1"/>
    </xf>
    <xf numFmtId="0" fontId="7" fillId="11" borderId="15" xfId="1" applyFont="1" applyFill="1" applyBorder="1" applyAlignment="1">
      <alignment horizontal="center" vertical="center" shrinkToFit="1"/>
    </xf>
    <xf numFmtId="0" fontId="5" fillId="17" borderId="17" xfId="1" applyFont="1" applyFill="1" applyBorder="1" applyAlignment="1">
      <alignment horizontal="center" vertical="center"/>
    </xf>
    <xf numFmtId="0" fontId="5" fillId="17" borderId="18" xfId="1" applyFont="1" applyFill="1" applyBorder="1" applyAlignment="1">
      <alignment horizontal="center" vertical="center"/>
    </xf>
    <xf numFmtId="0" fontId="19" fillId="17" borderId="18" xfId="1" applyFont="1" applyFill="1" applyBorder="1" applyAlignment="1">
      <alignment horizontal="center" vertical="center" shrinkToFit="1"/>
    </xf>
    <xf numFmtId="0" fontId="11" fillId="17" borderId="17" xfId="1" applyFont="1" applyFill="1" applyBorder="1" applyAlignment="1">
      <alignment horizontal="center" vertical="center" shrinkToFit="1"/>
    </xf>
    <xf numFmtId="0" fontId="12" fillId="0" borderId="15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20" fillId="0" borderId="15" xfId="1" applyFont="1" applyFill="1" applyBorder="1" applyAlignment="1">
      <alignment horizontal="center" vertical="top" wrapText="1" shrinkToFit="1"/>
    </xf>
    <xf numFmtId="0" fontId="5" fillId="0" borderId="0" xfId="1" applyFont="1" applyFill="1" applyBorder="1" applyAlignment="1">
      <alignment horizontal="center" vertical="center"/>
    </xf>
    <xf numFmtId="0" fontId="5" fillId="11" borderId="17" xfId="1" applyFont="1" applyFill="1" applyBorder="1" applyAlignment="1">
      <alignment horizontal="center" vertical="center"/>
    </xf>
    <xf numFmtId="0" fontId="5" fillId="11" borderId="18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7" fillId="0" borderId="18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26" xfId="0" applyBorder="1"/>
    <xf numFmtId="0" fontId="21" fillId="0" borderId="2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0" fillId="0" borderId="7" xfId="0" applyBorder="1"/>
    <xf numFmtId="0" fontId="22" fillId="0" borderId="2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23" fillId="0" borderId="27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0" fontId="25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0" fontId="1" fillId="0" borderId="8" xfId="0" applyFont="1" applyBorder="1"/>
    <xf numFmtId="0" fontId="23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2" fillId="2" borderId="8" xfId="0" applyFont="1" applyFill="1" applyBorder="1" applyAlignment="1">
      <alignment vertical="center"/>
    </xf>
    <xf numFmtId="0" fontId="22" fillId="21" borderId="8" xfId="0" applyFont="1" applyFill="1" applyBorder="1" applyAlignment="1">
      <alignment vertical="center"/>
    </xf>
    <xf numFmtId="0" fontId="22" fillId="22" borderId="8" xfId="0" applyFont="1" applyFill="1" applyBorder="1" applyAlignment="1">
      <alignment vertical="center"/>
    </xf>
    <xf numFmtId="0" fontId="23" fillId="5" borderId="8" xfId="0" applyFont="1" applyFill="1" applyBorder="1" applyAlignment="1">
      <alignment vertical="center"/>
    </xf>
    <xf numFmtId="0" fontId="22" fillId="23" borderId="8" xfId="0" applyFont="1" applyFill="1" applyBorder="1" applyAlignment="1">
      <alignment vertical="center"/>
    </xf>
    <xf numFmtId="0" fontId="22" fillId="24" borderId="8" xfId="0" applyFont="1" applyFill="1" applyBorder="1" applyAlignment="1">
      <alignment vertical="center"/>
    </xf>
    <xf numFmtId="0" fontId="22" fillId="20" borderId="8" xfId="0" applyFont="1" applyFill="1" applyBorder="1" applyAlignment="1">
      <alignment vertical="center"/>
    </xf>
    <xf numFmtId="0" fontId="1" fillId="0" borderId="8" xfId="0" applyFont="1" applyBorder="1" applyAlignment="1">
      <alignment wrapText="1"/>
    </xf>
    <xf numFmtId="0" fontId="28" fillId="0" borderId="8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  <xf numFmtId="0" fontId="0" fillId="0" borderId="27" xfId="0" applyBorder="1"/>
    <xf numFmtId="0" fontId="23" fillId="2" borderId="8" xfId="0" applyFont="1" applyFill="1" applyBorder="1" applyAlignment="1">
      <alignment vertical="center"/>
    </xf>
    <xf numFmtId="0" fontId="22" fillId="25" borderId="8" xfId="0" applyFont="1" applyFill="1" applyBorder="1" applyAlignment="1">
      <alignment vertical="center"/>
    </xf>
    <xf numFmtId="0" fontId="22" fillId="26" borderId="8" xfId="0" applyFont="1" applyFill="1" applyBorder="1" applyAlignment="1">
      <alignment vertical="center"/>
    </xf>
    <xf numFmtId="0" fontId="22" fillId="27" borderId="8" xfId="0" applyFont="1" applyFill="1" applyBorder="1" applyAlignment="1">
      <alignment vertical="center"/>
    </xf>
    <xf numFmtId="0" fontId="21" fillId="4" borderId="27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6" fillId="0" borderId="35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0" fontId="23" fillId="20" borderId="32" xfId="0" applyFont="1" applyFill="1" applyBorder="1" applyAlignment="1">
      <alignment horizontal="center" vertical="center" wrapText="1"/>
    </xf>
    <xf numFmtId="0" fontId="23" fillId="20" borderId="35" xfId="0" applyFont="1" applyFill="1" applyBorder="1" applyAlignment="1">
      <alignment horizontal="center" vertical="center" wrapText="1"/>
    </xf>
    <xf numFmtId="0" fontId="23" fillId="20" borderId="35" xfId="0" applyFont="1" applyFill="1" applyBorder="1" applyAlignment="1">
      <alignment horizontal="justify" vertical="center" wrapText="1"/>
    </xf>
    <xf numFmtId="0" fontId="26" fillId="20" borderId="35" xfId="0" applyFont="1" applyFill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1" fillId="0" borderId="35" xfId="0" applyFont="1" applyBorder="1" applyAlignment="1">
      <alignment vertical="center" wrapText="1"/>
    </xf>
    <xf numFmtId="0" fontId="22" fillId="0" borderId="35" xfId="0" applyFont="1" applyBorder="1" applyAlignment="1">
      <alignment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justify" vertical="center" wrapText="1"/>
    </xf>
    <xf numFmtId="0" fontId="32" fillId="0" borderId="37" xfId="0" applyFont="1" applyBorder="1" applyAlignment="1">
      <alignment vertical="center" wrapText="1"/>
    </xf>
    <xf numFmtId="0" fontId="32" fillId="0" borderId="37" xfId="0" applyFont="1" applyBorder="1" applyAlignment="1">
      <alignment horizontal="left" vertical="center" wrapText="1" indent="5"/>
    </xf>
    <xf numFmtId="0" fontId="33" fillId="0" borderId="35" xfId="0" applyFont="1" applyBorder="1" applyAlignment="1">
      <alignment horizontal="left" vertical="center" wrapText="1" indent="5"/>
    </xf>
    <xf numFmtId="0" fontId="29" fillId="0" borderId="35" xfId="0" applyFont="1" applyBorder="1" applyAlignment="1">
      <alignment vertical="center" wrapText="1"/>
    </xf>
    <xf numFmtId="0" fontId="23" fillId="0" borderId="35" xfId="0" applyFont="1" applyBorder="1" applyAlignment="1">
      <alignment horizontal="justify" vertical="center" wrapText="1"/>
    </xf>
    <xf numFmtId="0" fontId="0" fillId="0" borderId="36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34" fillId="0" borderId="0" xfId="0" applyFont="1" applyAlignment="1">
      <alignment horizontal="left" vertical="center"/>
    </xf>
    <xf numFmtId="0" fontId="22" fillId="0" borderId="24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1" fillId="29" borderId="8" xfId="0" applyFont="1" applyFill="1" applyBorder="1"/>
    <xf numFmtId="0" fontId="21" fillId="29" borderId="8" xfId="0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0" fontId="26" fillId="20" borderId="34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0" fillId="29" borderId="15" xfId="0" applyFill="1" applyBorder="1"/>
    <xf numFmtId="0" fontId="21" fillId="0" borderId="8" xfId="0" applyFont="1" applyBorder="1" applyAlignment="1">
      <alignment vertical="center" wrapText="1"/>
    </xf>
    <xf numFmtId="0" fontId="3" fillId="29" borderId="15" xfId="0" applyFont="1" applyFill="1" applyBorder="1" applyAlignment="1">
      <alignment horizontal="center"/>
    </xf>
    <xf numFmtId="0" fontId="0" fillId="0" borderId="24" xfId="0" applyBorder="1"/>
    <xf numFmtId="0" fontId="0" fillId="29" borderId="24" xfId="0" applyFill="1" applyBorder="1"/>
    <xf numFmtId="0" fontId="0" fillId="29" borderId="25" xfId="0" applyFill="1" applyBorder="1"/>
    <xf numFmtId="0" fontId="3" fillId="29" borderId="26" xfId="0" applyFont="1" applyFill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vertical="center"/>
    </xf>
    <xf numFmtId="0" fontId="0" fillId="29" borderId="0" xfId="0" applyFill="1"/>
    <xf numFmtId="0" fontId="3" fillId="29" borderId="0" xfId="0" applyFont="1" applyFill="1" applyAlignment="1">
      <alignment horizontal="center"/>
    </xf>
    <xf numFmtId="0" fontId="24" fillId="0" borderId="15" xfId="0" applyFont="1" applyBorder="1"/>
    <xf numFmtId="0" fontId="24" fillId="0" borderId="15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vertical="center"/>
    </xf>
    <xf numFmtId="0" fontId="23" fillId="20" borderId="34" xfId="0" applyFont="1" applyFill="1" applyBorder="1" applyAlignment="1">
      <alignment horizontal="justify" vertical="center" wrapText="1"/>
    </xf>
    <xf numFmtId="0" fontId="0" fillId="0" borderId="23" xfId="0" applyBorder="1" applyAlignment="1">
      <alignment horizontal="center"/>
    </xf>
    <xf numFmtId="0" fontId="35" fillId="0" borderId="8" xfId="0" applyFont="1" applyBorder="1" applyAlignment="1">
      <alignment vertical="center"/>
    </xf>
    <xf numFmtId="0" fontId="35" fillId="0" borderId="8" xfId="0" applyFont="1" applyBorder="1" applyAlignment="1">
      <alignment horizontal="center" vertical="center"/>
    </xf>
    <xf numFmtId="0" fontId="0" fillId="29" borderId="23" xfId="0" applyFill="1" applyBorder="1"/>
    <xf numFmtId="0" fontId="0" fillId="29" borderId="23" xfId="0" applyFill="1" applyBorder="1" applyAlignment="1">
      <alignment horizontal="center"/>
    </xf>
    <xf numFmtId="0" fontId="0" fillId="18" borderId="0" xfId="0" applyFill="1"/>
    <xf numFmtId="0" fontId="23" fillId="30" borderId="35" xfId="0" applyFont="1" applyFill="1" applyBorder="1" applyAlignment="1">
      <alignment vertical="center" wrapText="1"/>
    </xf>
    <xf numFmtId="0" fontId="23" fillId="30" borderId="8" xfId="0" applyFont="1" applyFill="1" applyBorder="1" applyAlignment="1">
      <alignment vertical="center"/>
    </xf>
    <xf numFmtId="0" fontId="22" fillId="0" borderId="34" xfId="0" applyFont="1" applyBorder="1" applyAlignment="1">
      <alignment horizontal="center" vertical="center" wrapText="1"/>
    </xf>
    <xf numFmtId="0" fontId="0" fillId="0" borderId="23" xfId="0" applyBorder="1"/>
    <xf numFmtId="0" fontId="5" fillId="30" borderId="15" xfId="1" applyFont="1" applyFill="1" applyBorder="1" applyAlignment="1">
      <alignment horizontal="center" vertical="center" shrinkToFit="1"/>
    </xf>
    <xf numFmtId="0" fontId="14" fillId="30" borderId="17" xfId="1" applyFont="1" applyFill="1" applyBorder="1" applyAlignment="1">
      <alignment horizontal="center" vertical="center" shrinkToFit="1"/>
    </xf>
    <xf numFmtId="0" fontId="5" fillId="30" borderId="18" xfId="1" applyFont="1" applyFill="1" applyBorder="1" applyAlignment="1">
      <alignment horizontal="center" vertical="center" shrinkToFit="1"/>
    </xf>
    <xf numFmtId="0" fontId="5" fillId="32" borderId="15" xfId="1" applyFont="1" applyFill="1" applyBorder="1" applyAlignment="1">
      <alignment horizontal="center" vertical="center"/>
    </xf>
    <xf numFmtId="0" fontId="23" fillId="30" borderId="37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/>
    </xf>
    <xf numFmtId="0" fontId="23" fillId="20" borderId="36" xfId="0" applyFont="1" applyFill="1" applyBorder="1" applyAlignment="1">
      <alignment horizontal="center" vertical="center" wrapText="1"/>
    </xf>
    <xf numFmtId="0" fontId="23" fillId="20" borderId="37" xfId="0" applyFont="1" applyFill="1" applyBorder="1" applyAlignment="1">
      <alignment horizontal="center" vertical="center" wrapText="1"/>
    </xf>
    <xf numFmtId="0" fontId="23" fillId="20" borderId="37" xfId="0" applyFont="1" applyFill="1" applyBorder="1" applyAlignment="1">
      <alignment horizontal="justify" vertical="center" wrapText="1"/>
    </xf>
    <xf numFmtId="0" fontId="23" fillId="0" borderId="45" xfId="0" applyFont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 applyAlignment="1">
      <alignment horizontal="center"/>
    </xf>
    <xf numFmtId="0" fontId="23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6" fillId="20" borderId="0" xfId="0" applyFont="1" applyFill="1" applyBorder="1" applyAlignment="1">
      <alignment horizontal="center" vertical="center" wrapText="1"/>
    </xf>
    <xf numFmtId="0" fontId="0" fillId="29" borderId="26" xfId="0" applyFill="1" applyBorder="1" applyAlignment="1">
      <alignment horizontal="center"/>
    </xf>
    <xf numFmtId="0" fontId="22" fillId="31" borderId="8" xfId="0" applyFont="1" applyFill="1" applyBorder="1" applyAlignment="1">
      <alignment vertical="center"/>
    </xf>
    <xf numFmtId="0" fontId="22" fillId="33" borderId="8" xfId="0" applyFont="1" applyFill="1" applyBorder="1" applyAlignment="1">
      <alignment vertical="center"/>
    </xf>
    <xf numFmtId="0" fontId="22" fillId="9" borderId="8" xfId="0" applyFont="1" applyFill="1" applyBorder="1" applyAlignment="1">
      <alignment vertical="center"/>
    </xf>
    <xf numFmtId="0" fontId="22" fillId="34" borderId="8" xfId="0" applyFont="1" applyFill="1" applyBorder="1" applyAlignment="1">
      <alignment vertical="center"/>
    </xf>
    <xf numFmtId="0" fontId="22" fillId="35" borderId="8" xfId="0" applyFont="1" applyFill="1" applyBorder="1" applyAlignment="1">
      <alignment vertical="center"/>
    </xf>
    <xf numFmtId="0" fontId="22" fillId="36" borderId="8" xfId="0" applyFont="1" applyFill="1" applyBorder="1" applyAlignment="1">
      <alignment vertical="center"/>
    </xf>
    <xf numFmtId="0" fontId="23" fillId="0" borderId="35" xfId="0" applyFont="1" applyBorder="1" applyAlignment="1">
      <alignment horizontal="left" vertical="top" wrapText="1"/>
    </xf>
    <xf numFmtId="0" fontId="36" fillId="0" borderId="35" xfId="0" applyFont="1" applyBorder="1" applyAlignment="1">
      <alignment horizontal="justify" vertical="center" wrapText="1"/>
    </xf>
    <xf numFmtId="0" fontId="24" fillId="5" borderId="23" xfId="0" applyFont="1" applyFill="1" applyBorder="1" applyAlignment="1">
      <alignment vertical="center" wrapText="1"/>
    </xf>
    <xf numFmtId="0" fontId="24" fillId="30" borderId="23" xfId="0" applyFont="1" applyFill="1" applyBorder="1" applyAlignment="1">
      <alignment vertical="center" wrapText="1"/>
    </xf>
    <xf numFmtId="0" fontId="22" fillId="33" borderId="35" xfId="0" applyFont="1" applyFill="1" applyBorder="1" applyAlignment="1">
      <alignment horizontal="center" vertical="center" wrapText="1"/>
    </xf>
    <xf numFmtId="0" fontId="22" fillId="33" borderId="35" xfId="0" applyFont="1" applyFill="1" applyBorder="1" applyAlignment="1">
      <alignment vertical="center" wrapText="1"/>
    </xf>
    <xf numFmtId="0" fontId="22" fillId="33" borderId="34" xfId="0" applyFont="1" applyFill="1" applyBorder="1" applyAlignment="1">
      <alignment horizontal="center" vertical="center" wrapText="1"/>
    </xf>
    <xf numFmtId="0" fontId="24" fillId="33" borderId="8" xfId="0" applyFont="1" applyFill="1" applyBorder="1" applyAlignment="1">
      <alignment horizontal="center" vertical="center"/>
    </xf>
    <xf numFmtId="0" fontId="35" fillId="33" borderId="8" xfId="0" applyFont="1" applyFill="1" applyBorder="1" applyAlignment="1">
      <alignment vertical="center"/>
    </xf>
    <xf numFmtId="0" fontId="35" fillId="33" borderId="8" xfId="0" applyFont="1" applyFill="1" applyBorder="1" applyAlignment="1">
      <alignment horizontal="center" vertical="center"/>
    </xf>
    <xf numFmtId="0" fontId="23" fillId="33" borderId="35" xfId="0" applyFont="1" applyFill="1" applyBorder="1" applyAlignment="1">
      <alignment horizontal="center" vertical="center" wrapText="1"/>
    </xf>
    <xf numFmtId="0" fontId="26" fillId="33" borderId="35" xfId="0" applyFont="1" applyFill="1" applyBorder="1" applyAlignment="1">
      <alignment vertical="center" wrapText="1"/>
    </xf>
    <xf numFmtId="0" fontId="23" fillId="33" borderId="8" xfId="0" applyFont="1" applyFill="1" applyBorder="1" applyAlignment="1">
      <alignment horizontal="center" vertical="center"/>
    </xf>
    <xf numFmtId="0" fontId="23" fillId="33" borderId="35" xfId="0" applyFont="1" applyFill="1" applyBorder="1" applyAlignment="1">
      <alignment vertical="center" wrapText="1"/>
    </xf>
    <xf numFmtId="0" fontId="24" fillId="33" borderId="8" xfId="0" applyFont="1" applyFill="1" applyBorder="1" applyAlignment="1">
      <alignment vertical="center"/>
    </xf>
    <xf numFmtId="0" fontId="26" fillId="33" borderId="8" xfId="0" applyFont="1" applyFill="1" applyBorder="1" applyAlignment="1">
      <alignment horizontal="center" vertical="center"/>
    </xf>
    <xf numFmtId="0" fontId="23" fillId="33" borderId="40" xfId="0" applyFont="1" applyFill="1" applyBorder="1" applyAlignment="1">
      <alignment horizontal="center" vertical="center" wrapText="1"/>
    </xf>
    <xf numFmtId="0" fontId="26" fillId="33" borderId="37" xfId="0" applyFont="1" applyFill="1" applyBorder="1" applyAlignment="1">
      <alignment vertical="center" wrapText="1"/>
    </xf>
    <xf numFmtId="0" fontId="22" fillId="33" borderId="8" xfId="0" applyFont="1" applyFill="1" applyBorder="1" applyAlignment="1">
      <alignment horizontal="center" vertical="center"/>
    </xf>
    <xf numFmtId="0" fontId="21" fillId="33" borderId="8" xfId="0" applyFont="1" applyFill="1" applyBorder="1" applyAlignment="1">
      <alignment vertical="center"/>
    </xf>
    <xf numFmtId="0" fontId="23" fillId="33" borderId="33" xfId="0" applyFont="1" applyFill="1" applyBorder="1" applyAlignment="1">
      <alignment horizontal="center" vertical="center" wrapText="1"/>
    </xf>
    <xf numFmtId="0" fontId="24" fillId="33" borderId="23" xfId="0" applyFont="1" applyFill="1" applyBorder="1"/>
    <xf numFmtId="0" fontId="24" fillId="33" borderId="23" xfId="0" applyFont="1" applyFill="1" applyBorder="1" applyAlignment="1">
      <alignment vertical="center"/>
    </xf>
    <xf numFmtId="0" fontId="24" fillId="33" borderId="23" xfId="0" applyFont="1" applyFill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33" borderId="35" xfId="0" applyFont="1" applyFill="1" applyBorder="1" applyAlignment="1">
      <alignment horizontal="left" vertical="top" wrapText="1"/>
    </xf>
    <xf numFmtId="0" fontId="23" fillId="33" borderId="34" xfId="0" applyFont="1" applyFill="1" applyBorder="1" applyAlignment="1">
      <alignment horizontal="center" vertical="center" wrapText="1"/>
    </xf>
    <xf numFmtId="0" fontId="24" fillId="33" borderId="23" xfId="0" applyFont="1" applyFill="1" applyBorder="1" applyAlignment="1">
      <alignment vertical="center" wrapText="1"/>
    </xf>
    <xf numFmtId="0" fontId="22" fillId="33" borderId="28" xfId="0" applyFont="1" applyFill="1" applyBorder="1" applyAlignment="1">
      <alignment horizontal="center" vertical="center"/>
    </xf>
    <xf numFmtId="0" fontId="23" fillId="33" borderId="8" xfId="0" applyFont="1" applyFill="1" applyBorder="1" applyAlignment="1">
      <alignment vertical="center"/>
    </xf>
    <xf numFmtId="0" fontId="23" fillId="31" borderId="35" xfId="0" applyFont="1" applyFill="1" applyBorder="1" applyAlignment="1">
      <alignment horizontal="center" vertical="center" wrapText="1"/>
    </xf>
    <xf numFmtId="0" fontId="36" fillId="31" borderId="35" xfId="0" applyFont="1" applyFill="1" applyBorder="1" applyAlignment="1">
      <alignment horizontal="justify" vertical="center" wrapText="1"/>
    </xf>
    <xf numFmtId="0" fontId="1" fillId="31" borderId="8" xfId="0" applyFont="1" applyFill="1" applyBorder="1"/>
    <xf numFmtId="0" fontId="28" fillId="31" borderId="8" xfId="0" applyFont="1" applyFill="1" applyBorder="1" applyAlignment="1">
      <alignment vertical="center"/>
    </xf>
    <xf numFmtId="0" fontId="1" fillId="31" borderId="8" xfId="0" applyFont="1" applyFill="1" applyBorder="1" applyAlignment="1">
      <alignment horizontal="center"/>
    </xf>
    <xf numFmtId="0" fontId="23" fillId="33" borderId="47" xfId="0" applyFont="1" applyFill="1" applyBorder="1" applyAlignment="1">
      <alignment horizontal="center" vertical="center" wrapText="1"/>
    </xf>
    <xf numFmtId="0" fontId="23" fillId="33" borderId="48" xfId="0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22" fillId="33" borderId="48" xfId="0" applyFont="1" applyFill="1" applyBorder="1" applyAlignment="1">
      <alignment horizontal="center" vertical="center" wrapText="1"/>
    </xf>
    <xf numFmtId="0" fontId="23" fillId="31" borderId="48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23" fillId="30" borderId="47" xfId="0" applyFont="1" applyFill="1" applyBorder="1" applyAlignment="1">
      <alignment horizontal="center" vertical="center" wrapText="1"/>
    </xf>
    <xf numFmtId="0" fontId="26" fillId="30" borderId="37" xfId="0" applyFont="1" applyFill="1" applyBorder="1" applyAlignment="1">
      <alignment vertical="center" wrapText="1"/>
    </xf>
    <xf numFmtId="0" fontId="21" fillId="30" borderId="8" xfId="0" applyFont="1" applyFill="1" applyBorder="1" applyAlignment="1">
      <alignment vertical="center"/>
    </xf>
    <xf numFmtId="0" fontId="37" fillId="30" borderId="8" xfId="0" applyFont="1" applyFill="1" applyBorder="1" applyAlignment="1">
      <alignment horizontal="center" vertical="center"/>
    </xf>
    <xf numFmtId="0" fontId="23" fillId="30" borderId="48" xfId="0" applyFont="1" applyFill="1" applyBorder="1" applyAlignment="1">
      <alignment horizontal="center" vertical="center" wrapText="1"/>
    </xf>
    <xf numFmtId="0" fontId="26" fillId="30" borderId="35" xfId="0" applyFont="1" applyFill="1" applyBorder="1" applyAlignment="1">
      <alignment vertical="center" wrapText="1"/>
    </xf>
    <xf numFmtId="0" fontId="24" fillId="30" borderId="23" xfId="0" applyFont="1" applyFill="1" applyBorder="1" applyAlignment="1">
      <alignment vertical="center"/>
    </xf>
    <xf numFmtId="0" fontId="37" fillId="30" borderId="23" xfId="0" applyFont="1" applyFill="1" applyBorder="1" applyAlignment="1">
      <alignment horizontal="center" vertical="center"/>
    </xf>
    <xf numFmtId="0" fontId="22" fillId="30" borderId="48" xfId="0" applyFont="1" applyFill="1" applyBorder="1" applyAlignment="1">
      <alignment horizontal="center" vertical="center" wrapText="1"/>
    </xf>
    <xf numFmtId="0" fontId="23" fillId="30" borderId="35" xfId="0" applyFont="1" applyFill="1" applyBorder="1" applyAlignment="1">
      <alignment horizontal="center" vertical="center" wrapText="1"/>
    </xf>
    <xf numFmtId="0" fontId="24" fillId="30" borderId="8" xfId="0" applyFont="1" applyFill="1" applyBorder="1" applyAlignment="1">
      <alignment horizontal="center" vertical="center"/>
    </xf>
    <xf numFmtId="0" fontId="24" fillId="30" borderId="8" xfId="0" applyFont="1" applyFill="1" applyBorder="1" applyAlignment="1">
      <alignment vertical="center"/>
    </xf>
    <xf numFmtId="0" fontId="35" fillId="30" borderId="8" xfId="0" applyFont="1" applyFill="1" applyBorder="1" applyAlignment="1">
      <alignment vertical="center"/>
    </xf>
    <xf numFmtId="0" fontId="22" fillId="30" borderId="35" xfId="0" applyFont="1" applyFill="1" applyBorder="1" applyAlignment="1">
      <alignment vertical="center" wrapText="1"/>
    </xf>
    <xf numFmtId="0" fontId="22" fillId="30" borderId="34" xfId="0" applyFont="1" applyFill="1" applyBorder="1" applyAlignment="1">
      <alignment horizontal="center" vertical="center" wrapText="1"/>
    </xf>
    <xf numFmtId="0" fontId="24" fillId="30" borderId="23" xfId="0" applyFont="1" applyFill="1" applyBorder="1" applyAlignment="1">
      <alignment horizontal="center" vertical="center"/>
    </xf>
    <xf numFmtId="0" fontId="23" fillId="30" borderId="34" xfId="0" applyFont="1" applyFill="1" applyBorder="1" applyAlignment="1">
      <alignment horizontal="center" vertical="center" wrapText="1"/>
    </xf>
    <xf numFmtId="0" fontId="22" fillId="30" borderId="28" xfId="0" applyFont="1" applyFill="1" applyBorder="1" applyAlignment="1">
      <alignment horizontal="center" vertical="center"/>
    </xf>
    <xf numFmtId="0" fontId="22" fillId="30" borderId="35" xfId="0" applyFont="1" applyFill="1" applyBorder="1" applyAlignment="1">
      <alignment horizontal="center" vertical="center" wrapText="1"/>
    </xf>
    <xf numFmtId="0" fontId="37" fillId="30" borderId="8" xfId="0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1" fillId="0" borderId="7" xfId="0" applyFont="1" applyBorder="1"/>
    <xf numFmtId="0" fontId="22" fillId="0" borderId="5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3" fillId="30" borderId="8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22" fillId="30" borderId="34" xfId="0" applyFont="1" applyFill="1" applyBorder="1" applyAlignment="1">
      <alignment vertical="center" wrapText="1"/>
    </xf>
    <xf numFmtId="0" fontId="23" fillId="30" borderId="34" xfId="0" applyFont="1" applyFill="1" applyBorder="1" applyAlignment="1">
      <alignment horizontal="left" vertical="top" wrapText="1"/>
    </xf>
    <xf numFmtId="0" fontId="26" fillId="0" borderId="37" xfId="0" applyFont="1" applyBorder="1" applyAlignment="1">
      <alignment horizontal="center" vertical="center" wrapText="1"/>
    </xf>
    <xf numFmtId="0" fontId="23" fillId="30" borderId="23" xfId="0" applyFont="1" applyFill="1" applyBorder="1" applyAlignment="1">
      <alignment horizontal="center" vertical="center" wrapText="1"/>
    </xf>
    <xf numFmtId="0" fontId="23" fillId="30" borderId="37" xfId="0" applyFont="1" applyFill="1" applyBorder="1" applyAlignment="1">
      <alignment horizontal="center" vertical="center" wrapText="1"/>
    </xf>
    <xf numFmtId="0" fontId="22" fillId="30" borderId="49" xfId="0" applyFont="1" applyFill="1" applyBorder="1" applyAlignment="1">
      <alignment horizontal="center" vertical="center" wrapText="1"/>
    </xf>
    <xf numFmtId="0" fontId="23" fillId="30" borderId="27" xfId="0" applyFont="1" applyFill="1" applyBorder="1" applyAlignment="1">
      <alignment horizontal="center" vertical="center" wrapText="1"/>
    </xf>
    <xf numFmtId="0" fontId="22" fillId="30" borderId="23" xfId="0" applyFont="1" applyFill="1" applyBorder="1" applyAlignment="1">
      <alignment horizontal="center" vertical="center" wrapText="1"/>
    </xf>
    <xf numFmtId="0" fontId="24" fillId="30" borderId="26" xfId="0" applyFont="1" applyFill="1" applyBorder="1" applyAlignment="1">
      <alignment horizontal="center"/>
    </xf>
    <xf numFmtId="0" fontId="22" fillId="30" borderId="28" xfId="0" applyFont="1" applyFill="1" applyBorder="1" applyAlignment="1">
      <alignment horizontal="center" vertical="center" wrapText="1"/>
    </xf>
    <xf numFmtId="0" fontId="23" fillId="30" borderId="51" xfId="0" applyFont="1" applyFill="1" applyBorder="1" applyAlignment="1">
      <alignment vertical="center" wrapText="1"/>
    </xf>
    <xf numFmtId="0" fontId="23" fillId="30" borderId="26" xfId="0" applyFont="1" applyFill="1" applyBorder="1" applyAlignment="1">
      <alignment horizontal="center" vertical="center" wrapText="1"/>
    </xf>
    <xf numFmtId="0" fontId="23" fillId="30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11" borderId="17" xfId="1" applyFont="1" applyFill="1" applyBorder="1" applyAlignment="1">
      <alignment horizontal="center" vertical="center"/>
    </xf>
    <xf numFmtId="0" fontId="5" fillId="11" borderId="18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0" fontId="7" fillId="0" borderId="18" xfId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10" fillId="0" borderId="13" xfId="1" applyFont="1" applyFill="1" applyBorder="1" applyAlignment="1">
      <alignment horizontal="center" vertical="center"/>
    </xf>
    <xf numFmtId="0" fontId="10" fillId="0" borderId="14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16" borderId="17" xfId="1" applyFont="1" applyFill="1" applyBorder="1" applyAlignment="1">
      <alignment horizontal="center" vertical="center"/>
    </xf>
    <xf numFmtId="0" fontId="5" fillId="16" borderId="18" xfId="1" applyFont="1" applyFill="1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14" borderId="17" xfId="1" applyFont="1" applyFill="1" applyBorder="1" applyAlignment="1">
      <alignment horizontal="center" vertical="center"/>
    </xf>
    <xf numFmtId="0" fontId="5" fillId="14" borderId="18" xfId="1" applyFont="1" applyFill="1" applyBorder="1" applyAlignment="1">
      <alignment horizontal="center" vertical="center"/>
    </xf>
    <xf numFmtId="0" fontId="31" fillId="28" borderId="38" xfId="0" applyFont="1" applyFill="1" applyBorder="1" applyAlignment="1">
      <alignment horizontal="center" vertical="center" wrapText="1"/>
    </xf>
    <xf numFmtId="0" fontId="31" fillId="28" borderId="39" xfId="0" applyFont="1" applyFill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5" fillId="32" borderId="17" xfId="1" applyFont="1" applyFill="1" applyBorder="1" applyAlignment="1">
      <alignment horizontal="center" vertical="center"/>
    </xf>
    <xf numFmtId="0" fontId="5" fillId="32" borderId="18" xfId="1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 vertical="center"/>
    </xf>
    <xf numFmtId="0" fontId="21" fillId="20" borderId="3" xfId="0" applyFont="1" applyFill="1" applyBorder="1" applyAlignment="1">
      <alignment horizontal="center" vertical="center"/>
    </xf>
    <xf numFmtId="0" fontId="21" fillId="20" borderId="6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21" fillId="20" borderId="8" xfId="0" applyFont="1" applyFill="1" applyBorder="1" applyAlignment="1">
      <alignment horizontal="center" vertical="center"/>
    </xf>
    <xf numFmtId="0" fontId="22" fillId="0" borderId="24" xfId="0" applyFont="1" applyBorder="1" applyAlignment="1">
      <alignment vertical="center"/>
    </xf>
    <xf numFmtId="0" fontId="22" fillId="0" borderId="26" xfId="0" applyFont="1" applyBorder="1" applyAlignment="1">
      <alignment vertical="center"/>
    </xf>
    <xf numFmtId="0" fontId="22" fillId="0" borderId="29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19" fillId="17" borderId="17" xfId="1" applyFont="1" applyFill="1" applyBorder="1" applyAlignment="1">
      <alignment horizontal="center" vertical="center" shrinkToFit="1"/>
    </xf>
    <xf numFmtId="0" fontId="19" fillId="17" borderId="18" xfId="1" applyFont="1" applyFill="1" applyBorder="1" applyAlignment="1">
      <alignment horizontal="center" vertical="center" shrinkToFit="1"/>
    </xf>
    <xf numFmtId="0" fontId="5" fillId="17" borderId="17" xfId="1" applyFont="1" applyFill="1" applyBorder="1" applyAlignment="1">
      <alignment horizontal="center" vertical="center"/>
    </xf>
    <xf numFmtId="0" fontId="5" fillId="17" borderId="18" xfId="1" applyFont="1" applyFill="1" applyBorder="1" applyAlignment="1">
      <alignment horizontal="center" vertical="center"/>
    </xf>
    <xf numFmtId="0" fontId="31" fillId="28" borderId="41" xfId="0" applyFont="1" applyFill="1" applyBorder="1" applyAlignment="1">
      <alignment horizontal="center" vertical="center" wrapText="1"/>
    </xf>
    <xf numFmtId="0" fontId="31" fillId="28" borderId="42" xfId="0" applyFont="1" applyFill="1" applyBorder="1" applyAlignment="1">
      <alignment horizontal="center" vertical="center" wrapText="1"/>
    </xf>
    <xf numFmtId="0" fontId="31" fillId="28" borderId="43" xfId="0" applyFont="1" applyFill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1" fillId="28" borderId="34" xfId="0" applyFont="1" applyFill="1" applyBorder="1" applyAlignment="1">
      <alignment horizontal="center" vertical="center" wrapText="1"/>
    </xf>
    <xf numFmtId="0" fontId="38" fillId="0" borderId="7" xfId="0" applyFont="1" applyBorder="1" applyAlignment="1">
      <alignment horizontal="left"/>
    </xf>
    <xf numFmtId="0" fontId="38" fillId="0" borderId="0" xfId="0" applyFont="1" applyBorder="1" applyAlignment="1">
      <alignment horizontal="left"/>
    </xf>
    <xf numFmtId="0" fontId="23" fillId="30" borderId="50" xfId="0" applyFont="1" applyFill="1" applyBorder="1" applyAlignment="1">
      <alignment horizontal="center" vertical="center" wrapText="1"/>
    </xf>
    <xf numFmtId="0" fontId="23" fillId="30" borderId="33" xfId="0" applyFont="1" applyFill="1" applyBorder="1" applyAlignment="1">
      <alignment horizontal="center" vertical="center" wrapText="1"/>
    </xf>
    <xf numFmtId="0" fontId="23" fillId="30" borderId="29" xfId="0" applyFont="1" applyFill="1" applyBorder="1" applyAlignment="1">
      <alignment horizontal="center" vertical="center" wrapText="1"/>
    </xf>
    <xf numFmtId="0" fontId="23" fillId="30" borderId="27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6" fillId="0" borderId="24" xfId="0" applyFont="1" applyBorder="1" applyAlignment="1">
      <alignment horizontal="center"/>
    </xf>
    <xf numFmtId="0" fontId="36" fillId="0" borderId="25" xfId="0" applyFont="1" applyBorder="1" applyAlignment="1">
      <alignment horizontal="center"/>
    </xf>
    <xf numFmtId="0" fontId="36" fillId="0" borderId="26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2" name="Straight Connector 1"/>
        <xdr:cNvCxnSpPr/>
      </xdr:nvCxnSpPr>
      <xdr:spPr bwMode="auto">
        <a:xfrm rot="5400000">
          <a:off x="10993044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</xdr:colOff>
      <xdr:row>38</xdr:row>
      <xdr:rowOff>123496</xdr:rowOff>
    </xdr:from>
    <xdr:to>
      <xdr:col>12</xdr:col>
      <xdr:colOff>306215</xdr:colOff>
      <xdr:row>38</xdr:row>
      <xdr:rowOff>123496</xdr:rowOff>
    </xdr:to>
    <xdr:cxnSp macro="">
      <xdr:nvCxnSpPr>
        <xdr:cNvPr id="3" name="Straight Arrow Connector 2"/>
        <xdr:cNvCxnSpPr/>
      </xdr:nvCxnSpPr>
      <xdr:spPr bwMode="auto">
        <a:xfrm>
          <a:off x="6976382" y="8429296"/>
          <a:ext cx="292608" cy="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144</xdr:row>
      <xdr:rowOff>120650</xdr:rowOff>
    </xdr:from>
    <xdr:to>
      <xdr:col>1</xdr:col>
      <xdr:colOff>797719</xdr:colOff>
      <xdr:row>144</xdr:row>
      <xdr:rowOff>122238</xdr:rowOff>
    </xdr:to>
    <xdr:cxnSp macro="">
      <xdr:nvCxnSpPr>
        <xdr:cNvPr id="4" name="Straight Arrow Connector 3"/>
        <xdr:cNvCxnSpPr/>
      </xdr:nvCxnSpPr>
      <xdr:spPr bwMode="auto">
        <a:xfrm>
          <a:off x="288131" y="27724100"/>
          <a:ext cx="738188" cy="1588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2548</xdr:colOff>
      <xdr:row>7</xdr:row>
      <xdr:rowOff>114921</xdr:rowOff>
    </xdr:from>
    <xdr:to>
      <xdr:col>12</xdr:col>
      <xdr:colOff>313444</xdr:colOff>
      <xdr:row>7</xdr:row>
      <xdr:rowOff>114921</xdr:rowOff>
    </xdr:to>
    <xdr:cxnSp macro="">
      <xdr:nvCxnSpPr>
        <xdr:cNvPr id="5" name="Straight Arrow Connector 4"/>
        <xdr:cNvCxnSpPr/>
      </xdr:nvCxnSpPr>
      <xdr:spPr>
        <a:xfrm>
          <a:off x="6965323" y="1534146"/>
          <a:ext cx="3108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8187</xdr:colOff>
      <xdr:row>13</xdr:row>
      <xdr:rowOff>119218</xdr:rowOff>
    </xdr:from>
    <xdr:to>
      <xdr:col>12</xdr:col>
      <xdr:colOff>282507</xdr:colOff>
      <xdr:row>13</xdr:row>
      <xdr:rowOff>119218</xdr:rowOff>
    </xdr:to>
    <xdr:cxnSp macro="">
      <xdr:nvCxnSpPr>
        <xdr:cNvPr id="6" name="Straight Arrow Connector 5"/>
        <xdr:cNvCxnSpPr/>
      </xdr:nvCxnSpPr>
      <xdr:spPr>
        <a:xfrm flipV="1">
          <a:off x="6970962" y="2710018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178143</xdr:colOff>
      <xdr:row>2</xdr:row>
      <xdr:rowOff>38615</xdr:rowOff>
    </xdr:from>
    <xdr:ext cx="184731" cy="264560"/>
    <xdr:sp macro="" textlink="">
      <xdr:nvSpPr>
        <xdr:cNvPr id="7" name="TextBox 6"/>
        <xdr:cNvSpPr txBox="1"/>
      </xdr:nvSpPr>
      <xdr:spPr>
        <a:xfrm>
          <a:off x="3569043" y="4577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>
    <xdr:from>
      <xdr:col>3</xdr:col>
      <xdr:colOff>25741</xdr:colOff>
      <xdr:row>5</xdr:row>
      <xdr:rowOff>68036</xdr:rowOff>
    </xdr:from>
    <xdr:to>
      <xdr:col>16</xdr:col>
      <xdr:colOff>239101</xdr:colOff>
      <xdr:row>5</xdr:row>
      <xdr:rowOff>70796</xdr:rowOff>
    </xdr:to>
    <xdr:cxnSp macro="">
      <xdr:nvCxnSpPr>
        <xdr:cNvPr id="8" name="Straight Arrow Connector 7"/>
        <xdr:cNvCxnSpPr/>
      </xdr:nvCxnSpPr>
      <xdr:spPr>
        <a:xfrm flipV="1">
          <a:off x="1673566" y="1058636"/>
          <a:ext cx="7461885" cy="27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29634</xdr:colOff>
      <xdr:row>7</xdr:row>
      <xdr:rowOff>106562</xdr:rowOff>
    </xdr:from>
    <xdr:to>
      <xdr:col>6</xdr:col>
      <xdr:colOff>325967</xdr:colOff>
      <xdr:row>7</xdr:row>
      <xdr:rowOff>106570</xdr:rowOff>
    </xdr:to>
    <xdr:cxnSp macro="">
      <xdr:nvCxnSpPr>
        <xdr:cNvPr id="9" name="Straight Arrow Connector 8"/>
        <xdr:cNvCxnSpPr/>
      </xdr:nvCxnSpPr>
      <xdr:spPr>
        <a:xfrm flipV="1">
          <a:off x="3420534" y="1525787"/>
          <a:ext cx="296333" cy="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33850</xdr:colOff>
      <xdr:row>7</xdr:row>
      <xdr:rowOff>106562</xdr:rowOff>
    </xdr:from>
    <xdr:to>
      <xdr:col>9</xdr:col>
      <xdr:colOff>353890</xdr:colOff>
      <xdr:row>7</xdr:row>
      <xdr:rowOff>106589</xdr:rowOff>
    </xdr:to>
    <xdr:cxnSp macro="">
      <xdr:nvCxnSpPr>
        <xdr:cNvPr id="10" name="Straight Arrow Connector 9"/>
        <xdr:cNvCxnSpPr/>
      </xdr:nvCxnSpPr>
      <xdr:spPr>
        <a:xfrm flipV="1">
          <a:off x="5205925" y="1525787"/>
          <a:ext cx="32004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25572</xdr:colOff>
      <xdr:row>5</xdr:row>
      <xdr:rowOff>121252</xdr:rowOff>
    </xdr:from>
    <xdr:to>
      <xdr:col>21</xdr:col>
      <xdr:colOff>122367</xdr:colOff>
      <xdr:row>5</xdr:row>
      <xdr:rowOff>121252</xdr:rowOff>
    </xdr:to>
    <xdr:cxnSp macro="">
      <xdr:nvCxnSpPr>
        <xdr:cNvPr id="11" name="Straight Arrow Connector 10"/>
        <xdr:cNvCxnSpPr/>
      </xdr:nvCxnSpPr>
      <xdr:spPr>
        <a:xfrm>
          <a:off x="10664997" y="1111852"/>
          <a:ext cx="458745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7</xdr:row>
      <xdr:rowOff>95250</xdr:rowOff>
    </xdr:from>
    <xdr:to>
      <xdr:col>22</xdr:col>
      <xdr:colOff>0</xdr:colOff>
      <xdr:row>9</xdr:row>
      <xdr:rowOff>85725</xdr:rowOff>
    </xdr:to>
    <xdr:grpSp>
      <xdr:nvGrpSpPr>
        <xdr:cNvPr id="12" name="Group 13"/>
        <xdr:cNvGrpSpPr>
          <a:grpSpLocks/>
        </xdr:cNvGrpSpPr>
      </xdr:nvGrpSpPr>
      <xdr:grpSpPr bwMode="auto">
        <a:xfrm>
          <a:off x="10629900" y="1512094"/>
          <a:ext cx="514350" cy="442912"/>
          <a:chOff x="10441472" y="1246334"/>
          <a:chExt cx="369713" cy="184305"/>
        </a:xfrm>
      </xdr:grpSpPr>
      <xdr:cxnSp macro="">
        <xdr:nvCxnSpPr>
          <xdr:cNvPr id="13" name="Straight Arrow Connector 12"/>
          <xdr:cNvCxnSpPr/>
        </xdr:nvCxnSpPr>
        <xdr:spPr>
          <a:xfrm>
            <a:off x="10441472" y="1246334"/>
            <a:ext cx="369713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Elbow Connector 13"/>
          <xdr:cNvCxnSpPr/>
        </xdr:nvCxnSpPr>
        <xdr:spPr>
          <a:xfrm>
            <a:off x="10441472" y="1246334"/>
            <a:ext cx="369713" cy="184305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30327</xdr:colOff>
      <xdr:row>13</xdr:row>
      <xdr:rowOff>118898</xdr:rowOff>
    </xdr:from>
    <xdr:to>
      <xdr:col>3</xdr:col>
      <xdr:colOff>286359</xdr:colOff>
      <xdr:row>13</xdr:row>
      <xdr:rowOff>118926</xdr:rowOff>
    </xdr:to>
    <xdr:cxnSp macro="">
      <xdr:nvCxnSpPr>
        <xdr:cNvPr id="15" name="Straight Arrow Connector 14"/>
        <xdr:cNvCxnSpPr/>
      </xdr:nvCxnSpPr>
      <xdr:spPr>
        <a:xfrm flipV="1">
          <a:off x="1678152" y="2709698"/>
          <a:ext cx="256032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17627</xdr:colOff>
      <xdr:row>13</xdr:row>
      <xdr:rowOff>80798</xdr:rowOff>
    </xdr:from>
    <xdr:to>
      <xdr:col>6</xdr:col>
      <xdr:colOff>349997</xdr:colOff>
      <xdr:row>13</xdr:row>
      <xdr:rowOff>80825</xdr:rowOff>
    </xdr:to>
    <xdr:cxnSp macro="">
      <xdr:nvCxnSpPr>
        <xdr:cNvPr id="16" name="Straight Arrow Connector 15"/>
        <xdr:cNvCxnSpPr/>
      </xdr:nvCxnSpPr>
      <xdr:spPr>
        <a:xfrm flipV="1">
          <a:off x="3408527" y="2671598"/>
          <a:ext cx="33237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200742</xdr:colOff>
      <xdr:row>17</xdr:row>
      <xdr:rowOff>86442</xdr:rowOff>
    </xdr:from>
    <xdr:to>
      <xdr:col>10</xdr:col>
      <xdr:colOff>6866</xdr:colOff>
      <xdr:row>17</xdr:row>
      <xdr:rowOff>86442</xdr:rowOff>
    </xdr:to>
    <xdr:cxnSp macro="">
      <xdr:nvCxnSpPr>
        <xdr:cNvPr id="17" name="Straight Arrow Connector 16"/>
        <xdr:cNvCxnSpPr/>
      </xdr:nvCxnSpPr>
      <xdr:spPr>
        <a:xfrm>
          <a:off x="5372817" y="3620217"/>
          <a:ext cx="168074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22953</xdr:colOff>
      <xdr:row>31</xdr:row>
      <xdr:rowOff>125173</xdr:rowOff>
    </xdr:from>
    <xdr:to>
      <xdr:col>12</xdr:col>
      <xdr:colOff>297273</xdr:colOff>
      <xdr:row>31</xdr:row>
      <xdr:rowOff>126761</xdr:rowOff>
    </xdr:to>
    <xdr:cxnSp macro="">
      <xdr:nvCxnSpPr>
        <xdr:cNvPr id="18" name="Straight Arrow Connector 17"/>
        <xdr:cNvCxnSpPr/>
      </xdr:nvCxnSpPr>
      <xdr:spPr>
        <a:xfrm>
          <a:off x="6985728" y="6773623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13</xdr:row>
      <xdr:rowOff>104775</xdr:rowOff>
    </xdr:from>
    <xdr:to>
      <xdr:col>22</xdr:col>
      <xdr:colOff>0</xdr:colOff>
      <xdr:row>13</xdr:row>
      <xdr:rowOff>104775</xdr:rowOff>
    </xdr:to>
    <xdr:cxnSp macro="">
      <xdr:nvCxnSpPr>
        <xdr:cNvPr id="19" name="Straight Arrow Connector 18"/>
        <xdr:cNvCxnSpPr/>
      </xdr:nvCxnSpPr>
      <xdr:spPr bwMode="auto">
        <a:xfrm>
          <a:off x="10648950" y="2695575"/>
          <a:ext cx="504825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45904</xdr:colOff>
      <xdr:row>17</xdr:row>
      <xdr:rowOff>93440</xdr:rowOff>
    </xdr:from>
    <xdr:to>
      <xdr:col>22</xdr:col>
      <xdr:colOff>3279</xdr:colOff>
      <xdr:row>17</xdr:row>
      <xdr:rowOff>93815</xdr:rowOff>
    </xdr:to>
    <xdr:cxnSp macro="">
      <xdr:nvCxnSpPr>
        <xdr:cNvPr id="20" name="Straight Arrow Connector 19"/>
        <xdr:cNvCxnSpPr/>
      </xdr:nvCxnSpPr>
      <xdr:spPr>
        <a:xfrm>
          <a:off x="10885354" y="3627215"/>
          <a:ext cx="271700" cy="375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15507</xdr:colOff>
      <xdr:row>45</xdr:row>
      <xdr:rowOff>150132</xdr:rowOff>
    </xdr:from>
    <xdr:to>
      <xdr:col>3</xdr:col>
      <xdr:colOff>271539</xdr:colOff>
      <xdr:row>45</xdr:row>
      <xdr:rowOff>150132</xdr:rowOff>
    </xdr:to>
    <xdr:cxnSp macro="">
      <xdr:nvCxnSpPr>
        <xdr:cNvPr id="21" name="Straight Arrow Connector 20"/>
        <xdr:cNvCxnSpPr/>
      </xdr:nvCxnSpPr>
      <xdr:spPr>
        <a:xfrm>
          <a:off x="1663332" y="9846582"/>
          <a:ext cx="2560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31495</xdr:colOff>
      <xdr:row>42</xdr:row>
      <xdr:rowOff>186311</xdr:rowOff>
    </xdr:from>
    <xdr:to>
      <xdr:col>6</xdr:col>
      <xdr:colOff>346856</xdr:colOff>
      <xdr:row>42</xdr:row>
      <xdr:rowOff>186339</xdr:rowOff>
    </xdr:to>
    <xdr:cxnSp macro="">
      <xdr:nvCxnSpPr>
        <xdr:cNvPr id="22" name="Straight Arrow Connector 21"/>
        <xdr:cNvCxnSpPr/>
      </xdr:nvCxnSpPr>
      <xdr:spPr>
        <a:xfrm flipV="1">
          <a:off x="3422395" y="9349361"/>
          <a:ext cx="315361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25400</xdr:colOff>
      <xdr:row>45</xdr:row>
      <xdr:rowOff>155919</xdr:rowOff>
    </xdr:from>
    <xdr:to>
      <xdr:col>16</xdr:col>
      <xdr:colOff>230986</xdr:colOff>
      <xdr:row>45</xdr:row>
      <xdr:rowOff>155919</xdr:rowOff>
    </xdr:to>
    <xdr:cxnSp macro="">
      <xdr:nvCxnSpPr>
        <xdr:cNvPr id="23" name="Straight Arrow Connector 22"/>
        <xdr:cNvCxnSpPr/>
      </xdr:nvCxnSpPr>
      <xdr:spPr>
        <a:xfrm flipV="1">
          <a:off x="5197475" y="9852369"/>
          <a:ext cx="3929861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40</xdr:row>
      <xdr:rowOff>155772</xdr:rowOff>
    </xdr:from>
    <xdr:to>
      <xdr:col>16</xdr:col>
      <xdr:colOff>253840</xdr:colOff>
      <xdr:row>40</xdr:row>
      <xdr:rowOff>159782</xdr:rowOff>
    </xdr:to>
    <xdr:cxnSp macro="">
      <xdr:nvCxnSpPr>
        <xdr:cNvPr id="24" name="Straight Arrow Connector 23"/>
        <xdr:cNvCxnSpPr/>
      </xdr:nvCxnSpPr>
      <xdr:spPr>
        <a:xfrm flipV="1">
          <a:off x="8715375" y="8871147"/>
          <a:ext cx="434815" cy="401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5954</xdr:colOff>
      <xdr:row>40</xdr:row>
      <xdr:rowOff>97633</xdr:rowOff>
    </xdr:from>
    <xdr:to>
      <xdr:col>21</xdr:col>
      <xdr:colOff>120254</xdr:colOff>
      <xdr:row>40</xdr:row>
      <xdr:rowOff>97633</xdr:rowOff>
    </xdr:to>
    <xdr:cxnSp macro="">
      <xdr:nvCxnSpPr>
        <xdr:cNvPr id="25" name="Straight Arrow Connector 24"/>
        <xdr:cNvCxnSpPr/>
      </xdr:nvCxnSpPr>
      <xdr:spPr bwMode="auto">
        <a:xfrm>
          <a:off x="10645379" y="8813008"/>
          <a:ext cx="4762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38</xdr:row>
      <xdr:rowOff>109373</xdr:rowOff>
    </xdr:from>
    <xdr:to>
      <xdr:col>9</xdr:col>
      <xdr:colOff>329565</xdr:colOff>
      <xdr:row>38</xdr:row>
      <xdr:rowOff>109400</xdr:rowOff>
    </xdr:to>
    <xdr:cxnSp macro="">
      <xdr:nvCxnSpPr>
        <xdr:cNvPr id="26" name="Straight Arrow Connector 25"/>
        <xdr:cNvCxnSpPr/>
      </xdr:nvCxnSpPr>
      <xdr:spPr>
        <a:xfrm flipV="1">
          <a:off x="5181600" y="8415173"/>
          <a:ext cx="32004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149227</xdr:colOff>
      <xdr:row>13</xdr:row>
      <xdr:rowOff>114304</xdr:rowOff>
    </xdr:from>
    <xdr:to>
      <xdr:col>9</xdr:col>
      <xdr:colOff>149227</xdr:colOff>
      <xdr:row>31</xdr:row>
      <xdr:rowOff>146256</xdr:rowOff>
    </xdr:to>
    <xdr:cxnSp macro="">
      <xdr:nvCxnSpPr>
        <xdr:cNvPr id="27" name="Straight Connector 26"/>
        <xdr:cNvCxnSpPr/>
      </xdr:nvCxnSpPr>
      <xdr:spPr>
        <a:xfrm rot="5400000">
          <a:off x="3276501" y="4749905"/>
          <a:ext cx="408960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153128</xdr:colOff>
      <xdr:row>31</xdr:row>
      <xdr:rowOff>145180</xdr:rowOff>
    </xdr:from>
    <xdr:to>
      <xdr:col>9</xdr:col>
      <xdr:colOff>354296</xdr:colOff>
      <xdr:row>31</xdr:row>
      <xdr:rowOff>146767</xdr:rowOff>
    </xdr:to>
    <xdr:cxnSp macro="">
      <xdr:nvCxnSpPr>
        <xdr:cNvPr id="28" name="Straight Arrow Connector 27"/>
        <xdr:cNvCxnSpPr/>
      </xdr:nvCxnSpPr>
      <xdr:spPr>
        <a:xfrm flipV="1">
          <a:off x="5325203" y="6793630"/>
          <a:ext cx="201168" cy="158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23897</xdr:colOff>
      <xdr:row>45</xdr:row>
      <xdr:rowOff>153651</xdr:rowOff>
    </xdr:from>
    <xdr:to>
      <xdr:col>6</xdr:col>
      <xdr:colOff>316505</xdr:colOff>
      <xdr:row>45</xdr:row>
      <xdr:rowOff>153679</xdr:rowOff>
    </xdr:to>
    <xdr:cxnSp macro="">
      <xdr:nvCxnSpPr>
        <xdr:cNvPr id="29" name="Straight Arrow Connector 28"/>
        <xdr:cNvCxnSpPr/>
      </xdr:nvCxnSpPr>
      <xdr:spPr>
        <a:xfrm flipV="1">
          <a:off x="3414797" y="9850101"/>
          <a:ext cx="292608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13607</xdr:colOff>
      <xdr:row>7</xdr:row>
      <xdr:rowOff>95250</xdr:rowOff>
    </xdr:from>
    <xdr:to>
      <xdr:col>16</xdr:col>
      <xdr:colOff>276210</xdr:colOff>
      <xdr:row>7</xdr:row>
      <xdr:rowOff>95251</xdr:rowOff>
    </xdr:to>
    <xdr:cxnSp macro="">
      <xdr:nvCxnSpPr>
        <xdr:cNvPr id="30" name="Straight Arrow Connector 29"/>
        <xdr:cNvCxnSpPr/>
      </xdr:nvCxnSpPr>
      <xdr:spPr>
        <a:xfrm>
          <a:off x="8719457" y="1514475"/>
          <a:ext cx="453103" cy="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22953</xdr:colOff>
      <xdr:row>17</xdr:row>
      <xdr:rowOff>115983</xdr:rowOff>
    </xdr:from>
    <xdr:to>
      <xdr:col>12</xdr:col>
      <xdr:colOff>297273</xdr:colOff>
      <xdr:row>17</xdr:row>
      <xdr:rowOff>117571</xdr:rowOff>
    </xdr:to>
    <xdr:cxnSp macro="">
      <xdr:nvCxnSpPr>
        <xdr:cNvPr id="31" name="Straight Arrow Connector 30"/>
        <xdr:cNvCxnSpPr/>
      </xdr:nvCxnSpPr>
      <xdr:spPr>
        <a:xfrm>
          <a:off x="6985728" y="3649758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10948</xdr:colOff>
      <xdr:row>31</xdr:row>
      <xdr:rowOff>236151</xdr:rowOff>
    </xdr:from>
    <xdr:to>
      <xdr:col>3</xdr:col>
      <xdr:colOff>285268</xdr:colOff>
      <xdr:row>31</xdr:row>
      <xdr:rowOff>237739</xdr:rowOff>
    </xdr:to>
    <xdr:cxnSp macro="">
      <xdr:nvCxnSpPr>
        <xdr:cNvPr id="32" name="Straight Arrow Connector 31"/>
        <xdr:cNvCxnSpPr/>
      </xdr:nvCxnSpPr>
      <xdr:spPr>
        <a:xfrm>
          <a:off x="1658773" y="6884601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11</xdr:row>
      <xdr:rowOff>95250</xdr:rowOff>
    </xdr:from>
    <xdr:to>
      <xdr:col>22</xdr:col>
      <xdr:colOff>0</xdr:colOff>
      <xdr:row>11</xdr:row>
      <xdr:rowOff>95250</xdr:rowOff>
    </xdr:to>
    <xdr:cxnSp macro="">
      <xdr:nvCxnSpPr>
        <xdr:cNvPr id="33" name="Straight Arrow Connector 32"/>
        <xdr:cNvCxnSpPr/>
      </xdr:nvCxnSpPr>
      <xdr:spPr bwMode="auto">
        <a:xfrm>
          <a:off x="7115175" y="2314575"/>
          <a:ext cx="4038600" cy="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14946</xdr:colOff>
      <xdr:row>42</xdr:row>
      <xdr:rowOff>196168</xdr:rowOff>
    </xdr:from>
    <xdr:to>
      <xdr:col>3</xdr:col>
      <xdr:colOff>270978</xdr:colOff>
      <xdr:row>42</xdr:row>
      <xdr:rowOff>196168</xdr:rowOff>
    </xdr:to>
    <xdr:cxnSp macro="">
      <xdr:nvCxnSpPr>
        <xdr:cNvPr id="34" name="Straight Arrow Connector 33"/>
        <xdr:cNvCxnSpPr/>
      </xdr:nvCxnSpPr>
      <xdr:spPr bwMode="auto">
        <a:xfrm>
          <a:off x="1662771" y="9359218"/>
          <a:ext cx="256032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35" name="Straight Connector 34"/>
        <xdr:cNvCxnSpPr/>
      </xdr:nvCxnSpPr>
      <xdr:spPr bwMode="auto">
        <a:xfrm rot="5400000">
          <a:off x="10993044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32</xdr:row>
      <xdr:rowOff>107949</xdr:rowOff>
    </xdr:from>
    <xdr:to>
      <xdr:col>21</xdr:col>
      <xdr:colOff>7</xdr:colOff>
      <xdr:row>32</xdr:row>
      <xdr:rowOff>124618</xdr:rowOff>
    </xdr:to>
    <xdr:cxnSp macro="">
      <xdr:nvCxnSpPr>
        <xdr:cNvPr id="36" name="Straight Connector 35"/>
        <xdr:cNvCxnSpPr/>
      </xdr:nvCxnSpPr>
      <xdr:spPr bwMode="auto">
        <a:xfrm rot="5400000">
          <a:off x="10993044" y="701238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32</xdr:row>
      <xdr:rowOff>116114</xdr:rowOff>
    </xdr:from>
    <xdr:to>
      <xdr:col>22</xdr:col>
      <xdr:colOff>1361</xdr:colOff>
      <xdr:row>32</xdr:row>
      <xdr:rowOff>116114</xdr:rowOff>
    </xdr:to>
    <xdr:cxnSp macro="">
      <xdr:nvCxnSpPr>
        <xdr:cNvPr id="37" name="Straight Arrow Connector 36"/>
        <xdr:cNvCxnSpPr/>
      </xdr:nvCxnSpPr>
      <xdr:spPr>
        <a:xfrm>
          <a:off x="11001375" y="7012214"/>
          <a:ext cx="15376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154802</xdr:colOff>
      <xdr:row>30</xdr:row>
      <xdr:rowOff>76418</xdr:rowOff>
    </xdr:from>
    <xdr:to>
      <xdr:col>20</xdr:col>
      <xdr:colOff>158382</xdr:colOff>
      <xdr:row>32</xdr:row>
      <xdr:rowOff>124592</xdr:rowOff>
    </xdr:to>
    <xdr:cxnSp macro="">
      <xdr:nvCxnSpPr>
        <xdr:cNvPr id="38" name="Straight Connector 37"/>
        <xdr:cNvCxnSpPr/>
      </xdr:nvCxnSpPr>
      <xdr:spPr>
        <a:xfrm rot="5400000">
          <a:off x="10724305" y="6747165"/>
          <a:ext cx="543474" cy="3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30</xdr:row>
      <xdr:rowOff>83780</xdr:rowOff>
    </xdr:from>
    <xdr:to>
      <xdr:col>21</xdr:col>
      <xdr:colOff>149926</xdr:colOff>
      <xdr:row>30</xdr:row>
      <xdr:rowOff>83780</xdr:rowOff>
    </xdr:to>
    <xdr:cxnSp macro="">
      <xdr:nvCxnSpPr>
        <xdr:cNvPr id="39" name="Straight Arrow Connector 38"/>
        <xdr:cNvCxnSpPr/>
      </xdr:nvCxnSpPr>
      <xdr:spPr>
        <a:xfrm>
          <a:off x="11007065" y="64845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40" name="Straight Connector 39"/>
        <xdr:cNvCxnSpPr/>
      </xdr:nvCxnSpPr>
      <xdr:spPr bwMode="auto">
        <a:xfrm rot="5400000">
          <a:off x="10993044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36</xdr:row>
      <xdr:rowOff>117474</xdr:rowOff>
    </xdr:from>
    <xdr:to>
      <xdr:col>21</xdr:col>
      <xdr:colOff>7</xdr:colOff>
      <xdr:row>36</xdr:row>
      <xdr:rowOff>134143</xdr:rowOff>
    </xdr:to>
    <xdr:cxnSp macro="">
      <xdr:nvCxnSpPr>
        <xdr:cNvPr id="41" name="Straight Connector 40"/>
        <xdr:cNvCxnSpPr/>
      </xdr:nvCxnSpPr>
      <xdr:spPr bwMode="auto">
        <a:xfrm rot="5400000">
          <a:off x="10993044" y="7936306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161925</xdr:colOff>
      <xdr:row>36</xdr:row>
      <xdr:rowOff>58964</xdr:rowOff>
    </xdr:from>
    <xdr:to>
      <xdr:col>21</xdr:col>
      <xdr:colOff>134711</xdr:colOff>
      <xdr:row>36</xdr:row>
      <xdr:rowOff>58964</xdr:rowOff>
    </xdr:to>
    <xdr:cxnSp macro="">
      <xdr:nvCxnSpPr>
        <xdr:cNvPr id="42" name="Straight Arrow Connector 41"/>
        <xdr:cNvCxnSpPr/>
      </xdr:nvCxnSpPr>
      <xdr:spPr>
        <a:xfrm>
          <a:off x="11001375" y="7869464"/>
          <a:ext cx="13471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34</xdr:row>
      <xdr:rowOff>68343</xdr:rowOff>
    </xdr:from>
    <xdr:to>
      <xdr:col>21</xdr:col>
      <xdr:colOff>5015</xdr:colOff>
      <xdr:row>36</xdr:row>
      <xdr:rowOff>50799</xdr:rowOff>
    </xdr:to>
    <xdr:cxnSp macro="">
      <xdr:nvCxnSpPr>
        <xdr:cNvPr id="43" name="Straight Connector 42"/>
        <xdr:cNvCxnSpPr/>
      </xdr:nvCxnSpPr>
      <xdr:spPr>
        <a:xfrm rot="5400000">
          <a:off x="10803105" y="7658014"/>
          <a:ext cx="401556" cy="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34</xdr:row>
      <xdr:rowOff>83780</xdr:rowOff>
    </xdr:from>
    <xdr:to>
      <xdr:col>21</xdr:col>
      <xdr:colOff>149926</xdr:colOff>
      <xdr:row>34</xdr:row>
      <xdr:rowOff>83780</xdr:rowOff>
    </xdr:to>
    <xdr:cxnSp macro="">
      <xdr:nvCxnSpPr>
        <xdr:cNvPr id="44" name="Straight Arrow Connector 43"/>
        <xdr:cNvCxnSpPr/>
      </xdr:nvCxnSpPr>
      <xdr:spPr>
        <a:xfrm>
          <a:off x="11007065" y="74751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63500</xdr:rowOff>
    </xdr:from>
    <xdr:to>
      <xdr:col>9</xdr:col>
      <xdr:colOff>330200</xdr:colOff>
      <xdr:row>13</xdr:row>
      <xdr:rowOff>65088</xdr:rowOff>
    </xdr:to>
    <xdr:cxnSp macro="">
      <xdr:nvCxnSpPr>
        <xdr:cNvPr id="45" name="Straight Arrow Connector 44"/>
        <xdr:cNvCxnSpPr/>
      </xdr:nvCxnSpPr>
      <xdr:spPr>
        <a:xfrm>
          <a:off x="5172075" y="2654300"/>
          <a:ext cx="330200" cy="158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304800</xdr:colOff>
      <xdr:row>13</xdr:row>
      <xdr:rowOff>85725</xdr:rowOff>
    </xdr:from>
    <xdr:to>
      <xdr:col>16</xdr:col>
      <xdr:colOff>276225</xdr:colOff>
      <xdr:row>17</xdr:row>
      <xdr:rowOff>38100</xdr:rowOff>
    </xdr:to>
    <xdr:grpSp>
      <xdr:nvGrpSpPr>
        <xdr:cNvPr id="46" name="Group 61"/>
        <xdr:cNvGrpSpPr>
          <a:grpSpLocks/>
        </xdr:cNvGrpSpPr>
      </xdr:nvGrpSpPr>
      <xdr:grpSpPr bwMode="auto">
        <a:xfrm>
          <a:off x="8686800" y="2681288"/>
          <a:ext cx="471488" cy="904875"/>
          <a:chOff x="10304044" y="1246340"/>
          <a:chExt cx="523028" cy="194658"/>
        </a:xfrm>
      </xdr:grpSpPr>
      <xdr:cxnSp macro="">
        <xdr:nvCxnSpPr>
          <xdr:cNvPr id="47" name="Straight Arrow Connector 46"/>
          <xdr:cNvCxnSpPr/>
        </xdr:nvCxnSpPr>
        <xdr:spPr>
          <a:xfrm>
            <a:off x="10513255" y="1246340"/>
            <a:ext cx="313817" cy="0"/>
          </a:xfrm>
          <a:prstGeom prst="straightConnector1">
            <a:avLst/>
          </a:prstGeom>
          <a:ln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Elbow Connector 47"/>
          <xdr:cNvCxnSpPr/>
        </xdr:nvCxnSpPr>
        <xdr:spPr>
          <a:xfrm>
            <a:off x="10304044" y="1246340"/>
            <a:ext cx="355659" cy="194658"/>
          </a:xfrm>
          <a:prstGeom prst="bentConnector3">
            <a:avLst>
              <a:gd name="adj1" fmla="val 50000"/>
            </a:avLst>
          </a:prstGeom>
          <a:ln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25400</xdr:colOff>
      <xdr:row>40</xdr:row>
      <xdr:rowOff>152071</xdr:rowOff>
    </xdr:from>
    <xdr:to>
      <xdr:col>9</xdr:col>
      <xdr:colOff>345440</xdr:colOff>
      <xdr:row>40</xdr:row>
      <xdr:rowOff>152071</xdr:rowOff>
    </xdr:to>
    <xdr:cxnSp macro="">
      <xdr:nvCxnSpPr>
        <xdr:cNvPr id="49" name="Straight Arrow Connector 48"/>
        <xdr:cNvCxnSpPr/>
      </xdr:nvCxnSpPr>
      <xdr:spPr>
        <a:xfrm flipV="1">
          <a:off x="5197475" y="8867446"/>
          <a:ext cx="32004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40</xdr:row>
      <xdr:rowOff>153885</xdr:rowOff>
    </xdr:from>
    <xdr:to>
      <xdr:col>12</xdr:col>
      <xdr:colOff>305308</xdr:colOff>
      <xdr:row>40</xdr:row>
      <xdr:rowOff>153885</xdr:rowOff>
    </xdr:to>
    <xdr:cxnSp macro="">
      <xdr:nvCxnSpPr>
        <xdr:cNvPr id="50" name="Straight Arrow Connector 49"/>
        <xdr:cNvCxnSpPr/>
      </xdr:nvCxnSpPr>
      <xdr:spPr>
        <a:xfrm>
          <a:off x="6975475" y="8869260"/>
          <a:ext cx="292608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25400</xdr:rowOff>
    </xdr:from>
    <xdr:to>
      <xdr:col>12</xdr:col>
      <xdr:colOff>152400</xdr:colOff>
      <xdr:row>13</xdr:row>
      <xdr:rowOff>25400</xdr:rowOff>
    </xdr:to>
    <xdr:cxnSp macro="">
      <xdr:nvCxnSpPr>
        <xdr:cNvPr id="51" name="Straight Connector 50"/>
        <xdr:cNvCxnSpPr/>
      </xdr:nvCxnSpPr>
      <xdr:spPr>
        <a:xfrm flipV="1">
          <a:off x="6962775" y="2616200"/>
          <a:ext cx="15240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10025</xdr:colOff>
      <xdr:row>13</xdr:row>
      <xdr:rowOff>121987</xdr:rowOff>
    </xdr:from>
    <xdr:to>
      <xdr:col>9</xdr:col>
      <xdr:colOff>147185</xdr:colOff>
      <xdr:row>13</xdr:row>
      <xdr:rowOff>121987</xdr:rowOff>
    </xdr:to>
    <xdr:cxnSp macro="">
      <xdr:nvCxnSpPr>
        <xdr:cNvPr id="52" name="Straight Connector 51"/>
        <xdr:cNvCxnSpPr/>
      </xdr:nvCxnSpPr>
      <xdr:spPr>
        <a:xfrm flipV="1">
          <a:off x="5182100" y="2712787"/>
          <a:ext cx="137160" cy="0"/>
        </a:xfrm>
        <a:prstGeom prst="line">
          <a:avLst/>
        </a:prstGeom>
        <a:ln cmpd="sng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123823</xdr:colOff>
      <xdr:row>13</xdr:row>
      <xdr:rowOff>89061</xdr:rowOff>
    </xdr:from>
    <xdr:to>
      <xdr:col>6</xdr:col>
      <xdr:colOff>142873</xdr:colOff>
      <xdr:row>37</xdr:row>
      <xdr:rowOff>128571</xdr:rowOff>
    </xdr:to>
    <xdr:cxnSp macro="">
      <xdr:nvCxnSpPr>
        <xdr:cNvPr id="53" name="Straight Connector 52"/>
        <xdr:cNvCxnSpPr/>
      </xdr:nvCxnSpPr>
      <xdr:spPr>
        <a:xfrm rot="16200000" flipH="1">
          <a:off x="770818" y="5423766"/>
          <a:ext cx="550686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37</xdr:row>
      <xdr:rowOff>128423</xdr:rowOff>
    </xdr:from>
    <xdr:to>
      <xdr:col>7</xdr:col>
      <xdr:colOff>762</xdr:colOff>
      <xdr:row>37</xdr:row>
      <xdr:rowOff>128423</xdr:rowOff>
    </xdr:to>
    <xdr:cxnSp macro="">
      <xdr:nvCxnSpPr>
        <xdr:cNvPr id="54" name="Straight Arrow Connector 53"/>
        <xdr:cNvCxnSpPr/>
      </xdr:nvCxnSpPr>
      <xdr:spPr>
        <a:xfrm>
          <a:off x="3533775" y="8186573"/>
          <a:ext cx="210312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32</xdr:row>
      <xdr:rowOff>107949</xdr:rowOff>
    </xdr:from>
    <xdr:to>
      <xdr:col>21</xdr:col>
      <xdr:colOff>7</xdr:colOff>
      <xdr:row>32</xdr:row>
      <xdr:rowOff>124618</xdr:rowOff>
    </xdr:to>
    <xdr:cxnSp macro="">
      <xdr:nvCxnSpPr>
        <xdr:cNvPr id="55" name="Straight Connector 54"/>
        <xdr:cNvCxnSpPr/>
      </xdr:nvCxnSpPr>
      <xdr:spPr bwMode="auto">
        <a:xfrm rot="5400000">
          <a:off x="10993044" y="701238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32</xdr:row>
      <xdr:rowOff>116114</xdr:rowOff>
    </xdr:from>
    <xdr:to>
      <xdr:col>22</xdr:col>
      <xdr:colOff>1361</xdr:colOff>
      <xdr:row>32</xdr:row>
      <xdr:rowOff>116114</xdr:rowOff>
    </xdr:to>
    <xdr:cxnSp macro="">
      <xdr:nvCxnSpPr>
        <xdr:cNvPr id="56" name="Straight Arrow Connector 55"/>
        <xdr:cNvCxnSpPr/>
      </xdr:nvCxnSpPr>
      <xdr:spPr>
        <a:xfrm>
          <a:off x="11001375" y="7012214"/>
          <a:ext cx="15376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30</xdr:row>
      <xdr:rowOff>83780</xdr:rowOff>
    </xdr:from>
    <xdr:to>
      <xdr:col>21</xdr:col>
      <xdr:colOff>149926</xdr:colOff>
      <xdr:row>30</xdr:row>
      <xdr:rowOff>83780</xdr:rowOff>
    </xdr:to>
    <xdr:cxnSp macro="">
      <xdr:nvCxnSpPr>
        <xdr:cNvPr id="57" name="Straight Arrow Connector 56"/>
        <xdr:cNvCxnSpPr/>
      </xdr:nvCxnSpPr>
      <xdr:spPr>
        <a:xfrm>
          <a:off x="11007065" y="64845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45</xdr:row>
      <xdr:rowOff>142875</xdr:rowOff>
    </xdr:from>
    <xdr:to>
      <xdr:col>24</xdr:col>
      <xdr:colOff>152400</xdr:colOff>
      <xdr:row>45</xdr:row>
      <xdr:rowOff>142875</xdr:rowOff>
    </xdr:to>
    <xdr:cxnSp macro="">
      <xdr:nvCxnSpPr>
        <xdr:cNvPr id="58" name="Straight Arrow Connector 83"/>
        <xdr:cNvCxnSpPr>
          <a:cxnSpLocks noChangeShapeType="1"/>
        </xdr:cNvCxnSpPr>
      </xdr:nvCxnSpPr>
      <xdr:spPr bwMode="auto">
        <a:xfrm>
          <a:off x="10677525" y="9839325"/>
          <a:ext cx="232410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241300</xdr:colOff>
      <xdr:row>50</xdr:row>
      <xdr:rowOff>114300</xdr:rowOff>
    </xdr:from>
    <xdr:to>
      <xdr:col>4</xdr:col>
      <xdr:colOff>881380</xdr:colOff>
      <xdr:row>50</xdr:row>
      <xdr:rowOff>115888</xdr:rowOff>
    </xdr:to>
    <xdr:cxnSp macro="">
      <xdr:nvCxnSpPr>
        <xdr:cNvPr id="59" name="Straight Arrow Connector 58"/>
        <xdr:cNvCxnSpPr/>
      </xdr:nvCxnSpPr>
      <xdr:spPr>
        <a:xfrm>
          <a:off x="2193925" y="10677525"/>
          <a:ext cx="64008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241300</xdr:colOff>
      <xdr:row>51</xdr:row>
      <xdr:rowOff>114300</xdr:rowOff>
    </xdr:from>
    <xdr:to>
      <xdr:col>4</xdr:col>
      <xdr:colOff>881380</xdr:colOff>
      <xdr:row>51</xdr:row>
      <xdr:rowOff>115888</xdr:rowOff>
    </xdr:to>
    <xdr:cxnSp macro="">
      <xdr:nvCxnSpPr>
        <xdr:cNvPr id="60" name="Straight Arrow Connector 59"/>
        <xdr:cNvCxnSpPr/>
      </xdr:nvCxnSpPr>
      <xdr:spPr>
        <a:xfrm>
          <a:off x="2193925" y="10868025"/>
          <a:ext cx="640080" cy="158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204788</xdr:colOff>
      <xdr:row>13</xdr:row>
      <xdr:rowOff>66286</xdr:rowOff>
    </xdr:from>
    <xdr:to>
      <xdr:col>9</xdr:col>
      <xdr:colOff>204788</xdr:colOff>
      <xdr:row>17</xdr:row>
      <xdr:rowOff>88900</xdr:rowOff>
    </xdr:to>
    <xdr:cxnSp macro="">
      <xdr:nvCxnSpPr>
        <xdr:cNvPr id="61" name="Straight Connector 60"/>
        <xdr:cNvCxnSpPr/>
      </xdr:nvCxnSpPr>
      <xdr:spPr>
        <a:xfrm rot="16200000" flipH="1">
          <a:off x="4894068" y="3139881"/>
          <a:ext cx="965589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127000</xdr:colOff>
      <xdr:row>5</xdr:row>
      <xdr:rowOff>152400</xdr:rowOff>
    </xdr:from>
    <xdr:to>
      <xdr:col>16</xdr:col>
      <xdr:colOff>241300</xdr:colOff>
      <xdr:row>5</xdr:row>
      <xdr:rowOff>153988</xdr:rowOff>
    </xdr:to>
    <xdr:cxnSp macro="">
      <xdr:nvCxnSpPr>
        <xdr:cNvPr id="62" name="Straight Arrow Connector 61"/>
        <xdr:cNvCxnSpPr/>
      </xdr:nvCxnSpPr>
      <xdr:spPr bwMode="auto">
        <a:xfrm>
          <a:off x="7089775" y="1143000"/>
          <a:ext cx="2047875" cy="1588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140495</xdr:colOff>
      <xdr:row>5</xdr:row>
      <xdr:rowOff>153193</xdr:rowOff>
    </xdr:from>
    <xdr:to>
      <xdr:col>12</xdr:col>
      <xdr:colOff>140495</xdr:colOff>
      <xdr:row>13</xdr:row>
      <xdr:rowOff>47624</xdr:rowOff>
    </xdr:to>
    <xdr:cxnSp macro="">
      <xdr:nvCxnSpPr>
        <xdr:cNvPr id="63" name="Straight Connector 62"/>
        <xdr:cNvCxnSpPr/>
      </xdr:nvCxnSpPr>
      <xdr:spPr>
        <a:xfrm rot="5400000">
          <a:off x="6355954" y="1891109"/>
          <a:ext cx="1494631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40</xdr:row>
      <xdr:rowOff>95250</xdr:rowOff>
    </xdr:from>
    <xdr:to>
      <xdr:col>21</xdr:col>
      <xdr:colOff>96795</xdr:colOff>
      <xdr:row>42</xdr:row>
      <xdr:rowOff>199819</xdr:rowOff>
    </xdr:to>
    <xdr:cxnSp macro="">
      <xdr:nvCxnSpPr>
        <xdr:cNvPr id="64" name="Elbow Connector 63"/>
        <xdr:cNvCxnSpPr/>
      </xdr:nvCxnSpPr>
      <xdr:spPr bwMode="auto">
        <a:xfrm>
          <a:off x="10639425" y="8810625"/>
          <a:ext cx="458745" cy="5522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36</xdr:row>
      <xdr:rowOff>142875</xdr:rowOff>
    </xdr:from>
    <xdr:to>
      <xdr:col>22</xdr:col>
      <xdr:colOff>0</xdr:colOff>
      <xdr:row>38</xdr:row>
      <xdr:rowOff>95250</xdr:rowOff>
    </xdr:to>
    <xdr:grpSp>
      <xdr:nvGrpSpPr>
        <xdr:cNvPr id="65" name="Group 93"/>
        <xdr:cNvGrpSpPr>
          <a:grpSpLocks/>
        </xdr:cNvGrpSpPr>
      </xdr:nvGrpSpPr>
      <xdr:grpSpPr bwMode="auto">
        <a:xfrm>
          <a:off x="10629900" y="7977188"/>
          <a:ext cx="514350" cy="452437"/>
          <a:chOff x="10420407" y="1311766"/>
          <a:chExt cx="375845" cy="168307"/>
        </a:xfrm>
      </xdr:grpSpPr>
      <xdr:cxnSp macro="">
        <xdr:nvCxnSpPr>
          <xdr:cNvPr id="66" name="Straight Arrow Connector 94"/>
          <xdr:cNvCxnSpPr/>
        </xdr:nvCxnSpPr>
        <xdr:spPr>
          <a:xfrm>
            <a:off x="10427498" y="1480073"/>
            <a:ext cx="368754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Elbow Connector 95"/>
          <xdr:cNvCxnSpPr/>
        </xdr:nvCxnSpPr>
        <xdr:spPr>
          <a:xfrm flipV="1">
            <a:off x="10420407" y="1311766"/>
            <a:ext cx="319114" cy="164726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12700</xdr:colOff>
      <xdr:row>38</xdr:row>
      <xdr:rowOff>118898</xdr:rowOff>
    </xdr:from>
    <xdr:to>
      <xdr:col>17</xdr:col>
      <xdr:colOff>0</xdr:colOff>
      <xdr:row>38</xdr:row>
      <xdr:rowOff>118898</xdr:rowOff>
    </xdr:to>
    <xdr:cxnSp macro="">
      <xdr:nvCxnSpPr>
        <xdr:cNvPr id="68" name="Straight Arrow Connector 67"/>
        <xdr:cNvCxnSpPr/>
      </xdr:nvCxnSpPr>
      <xdr:spPr>
        <a:xfrm flipV="1">
          <a:off x="8718550" y="8424698"/>
          <a:ext cx="4635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17</xdr:row>
      <xdr:rowOff>142875</xdr:rowOff>
    </xdr:from>
    <xdr:to>
      <xdr:col>17</xdr:col>
      <xdr:colOff>0</xdr:colOff>
      <xdr:row>19</xdr:row>
      <xdr:rowOff>114300</xdr:rowOff>
    </xdr:to>
    <xdr:grpSp>
      <xdr:nvGrpSpPr>
        <xdr:cNvPr id="69" name="Group 98"/>
        <xdr:cNvGrpSpPr>
          <a:grpSpLocks/>
        </xdr:cNvGrpSpPr>
      </xdr:nvGrpSpPr>
      <xdr:grpSpPr bwMode="auto">
        <a:xfrm>
          <a:off x="8720138" y="3690938"/>
          <a:ext cx="447675" cy="471487"/>
          <a:chOff x="10441472" y="1246340"/>
          <a:chExt cx="369704" cy="194658"/>
        </a:xfrm>
      </xdr:grpSpPr>
      <xdr:cxnSp macro="">
        <xdr:nvCxnSpPr>
          <xdr:cNvPr id="70" name="Straight Arrow Connector 69"/>
          <xdr:cNvCxnSpPr/>
        </xdr:nvCxnSpPr>
        <xdr:spPr>
          <a:xfrm>
            <a:off x="10441472" y="1246340"/>
            <a:ext cx="369704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Elbow Connector 70"/>
          <xdr:cNvCxnSpPr/>
        </xdr:nvCxnSpPr>
        <xdr:spPr>
          <a:xfrm>
            <a:off x="10441472" y="1246340"/>
            <a:ext cx="353972" cy="194658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9525</xdr:colOff>
      <xdr:row>17</xdr:row>
      <xdr:rowOff>95250</xdr:rowOff>
    </xdr:from>
    <xdr:to>
      <xdr:col>21</xdr:col>
      <xdr:colOff>135597</xdr:colOff>
      <xdr:row>19</xdr:row>
      <xdr:rowOff>104775</xdr:rowOff>
    </xdr:to>
    <xdr:cxnSp macro="">
      <xdr:nvCxnSpPr>
        <xdr:cNvPr id="72" name="Elbow Connector 71"/>
        <xdr:cNvCxnSpPr/>
      </xdr:nvCxnSpPr>
      <xdr:spPr bwMode="auto">
        <a:xfrm>
          <a:off x="10648950" y="3629025"/>
          <a:ext cx="488022" cy="5048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30</xdr:row>
      <xdr:rowOff>152400</xdr:rowOff>
    </xdr:from>
    <xdr:to>
      <xdr:col>21</xdr:col>
      <xdr:colOff>28575</xdr:colOff>
      <xdr:row>35</xdr:row>
      <xdr:rowOff>114300</xdr:rowOff>
    </xdr:to>
    <xdr:grpSp>
      <xdr:nvGrpSpPr>
        <xdr:cNvPr id="73" name="Group 114"/>
        <xdr:cNvGrpSpPr>
          <a:grpSpLocks/>
        </xdr:cNvGrpSpPr>
      </xdr:nvGrpSpPr>
      <xdr:grpSpPr bwMode="auto">
        <a:xfrm>
          <a:off x="10620375" y="6569869"/>
          <a:ext cx="397669" cy="1212056"/>
          <a:chOff x="10405601" y="6956061"/>
          <a:chExt cx="467297" cy="203593"/>
        </a:xfrm>
      </xdr:grpSpPr>
      <xdr:cxnSp macro="">
        <xdr:nvCxnSpPr>
          <xdr:cNvPr id="74" name="Straight Arrow Connector 73"/>
          <xdr:cNvCxnSpPr/>
        </xdr:nvCxnSpPr>
        <xdr:spPr>
          <a:xfrm>
            <a:off x="10405601" y="6956061"/>
            <a:ext cx="421707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Elbow Connector 74"/>
          <xdr:cNvCxnSpPr/>
        </xdr:nvCxnSpPr>
        <xdr:spPr>
          <a:xfrm>
            <a:off x="10473986" y="6956061"/>
            <a:ext cx="398912" cy="203593"/>
          </a:xfrm>
          <a:prstGeom prst="bentConnector3">
            <a:avLst>
              <a:gd name="adj1" fmla="val 50000"/>
            </a:avLst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31</xdr:row>
      <xdr:rowOff>95250</xdr:rowOff>
    </xdr:from>
    <xdr:to>
      <xdr:col>16</xdr:col>
      <xdr:colOff>276225</xdr:colOff>
      <xdr:row>31</xdr:row>
      <xdr:rowOff>95250</xdr:rowOff>
    </xdr:to>
    <xdr:cxnSp macro="">
      <xdr:nvCxnSpPr>
        <xdr:cNvPr id="76" name="Straight Arrow Connector 118"/>
        <xdr:cNvCxnSpPr>
          <a:cxnSpLocks noChangeShapeType="1"/>
        </xdr:cNvCxnSpPr>
      </xdr:nvCxnSpPr>
      <xdr:spPr bwMode="auto">
        <a:xfrm>
          <a:off x="8705850" y="6743700"/>
          <a:ext cx="466725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28575</xdr:colOff>
      <xdr:row>31</xdr:row>
      <xdr:rowOff>95250</xdr:rowOff>
    </xdr:from>
    <xdr:to>
      <xdr:col>16</xdr:col>
      <xdr:colOff>247650</xdr:colOff>
      <xdr:row>33</xdr:row>
      <xdr:rowOff>142875</xdr:rowOff>
    </xdr:to>
    <xdr:cxnSp macro="">
      <xdr:nvCxnSpPr>
        <xdr:cNvPr id="77" name="Elbow Connector 119"/>
        <xdr:cNvCxnSpPr>
          <a:cxnSpLocks noChangeShapeType="1"/>
        </xdr:cNvCxnSpPr>
      </xdr:nvCxnSpPr>
      <xdr:spPr bwMode="auto">
        <a:xfrm>
          <a:off x="8734425" y="6743700"/>
          <a:ext cx="409575" cy="542925"/>
        </a:xfrm>
        <a:prstGeom prst="bentConnector3">
          <a:avLst>
            <a:gd name="adj1" fmla="val 25944"/>
          </a:avLst>
        </a:prstGeom>
        <a:noFill/>
        <a:ln w="9525" algn="ctr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24</xdr:row>
      <xdr:rowOff>142875</xdr:rowOff>
    </xdr:from>
    <xdr:to>
      <xdr:col>9</xdr:col>
      <xdr:colOff>342900</xdr:colOff>
      <xdr:row>24</xdr:row>
      <xdr:rowOff>142875</xdr:rowOff>
    </xdr:to>
    <xdr:cxnSp macro="">
      <xdr:nvCxnSpPr>
        <xdr:cNvPr id="78" name="Straight Arrow Connector 133"/>
        <xdr:cNvCxnSpPr>
          <a:cxnSpLocks noChangeShapeType="1"/>
        </xdr:cNvCxnSpPr>
      </xdr:nvCxnSpPr>
      <xdr:spPr bwMode="auto">
        <a:xfrm>
          <a:off x="5191125" y="5267325"/>
          <a:ext cx="323850" cy="0"/>
        </a:xfrm>
        <a:prstGeom prst="straightConnector1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176890</xdr:colOff>
      <xdr:row>23</xdr:row>
      <xdr:rowOff>124849</xdr:rowOff>
    </xdr:from>
    <xdr:to>
      <xdr:col>15</xdr:col>
      <xdr:colOff>176890</xdr:colOff>
      <xdr:row>25</xdr:row>
      <xdr:rowOff>105430</xdr:rowOff>
    </xdr:to>
    <xdr:cxnSp macro="">
      <xdr:nvCxnSpPr>
        <xdr:cNvPr id="79" name="Straight Connector 78"/>
        <xdr:cNvCxnSpPr/>
      </xdr:nvCxnSpPr>
      <xdr:spPr>
        <a:xfrm rot="16200000" flipH="1">
          <a:off x="8630512" y="5253877"/>
          <a:ext cx="504456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180975</xdr:colOff>
      <xdr:row>23</xdr:row>
      <xdr:rowOff>105277</xdr:rowOff>
    </xdr:from>
    <xdr:to>
      <xdr:col>17</xdr:col>
      <xdr:colOff>1356</xdr:colOff>
      <xdr:row>23</xdr:row>
      <xdr:rowOff>105277</xdr:rowOff>
    </xdr:to>
    <xdr:cxnSp macro="">
      <xdr:nvCxnSpPr>
        <xdr:cNvPr id="80" name="Straight Arrow Connector 79"/>
        <xdr:cNvCxnSpPr/>
      </xdr:nvCxnSpPr>
      <xdr:spPr>
        <a:xfrm flipV="1">
          <a:off x="8886825" y="4982077"/>
          <a:ext cx="296631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176893</xdr:colOff>
      <xdr:row>25</xdr:row>
      <xdr:rowOff>108857</xdr:rowOff>
    </xdr:from>
    <xdr:to>
      <xdr:col>16</xdr:col>
      <xdr:colOff>284048</xdr:colOff>
      <xdr:row>25</xdr:row>
      <xdr:rowOff>110290</xdr:rowOff>
    </xdr:to>
    <xdr:cxnSp macro="">
      <xdr:nvCxnSpPr>
        <xdr:cNvPr id="81" name="Straight Arrow Connector 80"/>
        <xdr:cNvCxnSpPr/>
      </xdr:nvCxnSpPr>
      <xdr:spPr>
        <a:xfrm>
          <a:off x="8882743" y="5509532"/>
          <a:ext cx="297655" cy="143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8072</xdr:colOff>
      <xdr:row>25</xdr:row>
      <xdr:rowOff>104493</xdr:rowOff>
    </xdr:from>
    <xdr:to>
      <xdr:col>21</xdr:col>
      <xdr:colOff>122372</xdr:colOff>
      <xdr:row>25</xdr:row>
      <xdr:rowOff>104493</xdr:rowOff>
    </xdr:to>
    <xdr:cxnSp macro="">
      <xdr:nvCxnSpPr>
        <xdr:cNvPr id="82" name="Straight Arrow Connector 81"/>
        <xdr:cNvCxnSpPr/>
      </xdr:nvCxnSpPr>
      <xdr:spPr bwMode="auto">
        <a:xfrm>
          <a:off x="10647497" y="5505168"/>
          <a:ext cx="4762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16144</xdr:colOff>
      <xdr:row>25</xdr:row>
      <xdr:rowOff>109712</xdr:rowOff>
    </xdr:from>
    <xdr:to>
      <xdr:col>21</xdr:col>
      <xdr:colOff>111343</xdr:colOff>
      <xdr:row>28</xdr:row>
      <xdr:rowOff>200894</xdr:rowOff>
    </xdr:to>
    <xdr:cxnSp macro="">
      <xdr:nvCxnSpPr>
        <xdr:cNvPr id="83" name="Elbow Connector 82"/>
        <xdr:cNvCxnSpPr/>
      </xdr:nvCxnSpPr>
      <xdr:spPr bwMode="auto">
        <a:xfrm>
          <a:off x="10655569" y="5510387"/>
          <a:ext cx="457149" cy="6436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11369</xdr:colOff>
      <xdr:row>24</xdr:row>
      <xdr:rowOff>114259</xdr:rowOff>
    </xdr:from>
    <xdr:to>
      <xdr:col>16</xdr:col>
      <xdr:colOff>3749</xdr:colOff>
      <xdr:row>24</xdr:row>
      <xdr:rowOff>115847</xdr:rowOff>
    </xdr:to>
    <xdr:cxnSp macro="">
      <xdr:nvCxnSpPr>
        <xdr:cNvPr id="84" name="Straight Connector 72"/>
        <xdr:cNvCxnSpPr/>
      </xdr:nvCxnSpPr>
      <xdr:spPr>
        <a:xfrm>
          <a:off x="8717219" y="5238709"/>
          <a:ext cx="182880" cy="1588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38229</xdr:colOff>
      <xdr:row>23</xdr:row>
      <xdr:rowOff>106216</xdr:rowOff>
    </xdr:from>
    <xdr:to>
      <xdr:col>22</xdr:col>
      <xdr:colOff>4939</xdr:colOff>
      <xdr:row>23</xdr:row>
      <xdr:rowOff>106216</xdr:rowOff>
    </xdr:to>
    <xdr:cxnSp macro="">
      <xdr:nvCxnSpPr>
        <xdr:cNvPr id="85" name="Straight Arrow Connector 84"/>
        <xdr:cNvCxnSpPr/>
      </xdr:nvCxnSpPr>
      <xdr:spPr bwMode="auto">
        <a:xfrm>
          <a:off x="10677654" y="4983016"/>
          <a:ext cx="48106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21</xdr:row>
      <xdr:rowOff>154782</xdr:rowOff>
    </xdr:from>
    <xdr:to>
      <xdr:col>21</xdr:col>
      <xdr:colOff>107157</xdr:colOff>
      <xdr:row>23</xdr:row>
      <xdr:rowOff>101203</xdr:rowOff>
    </xdr:to>
    <xdr:cxnSp macro="">
      <xdr:nvCxnSpPr>
        <xdr:cNvPr id="86" name="Elbow Connector 85"/>
        <xdr:cNvCxnSpPr/>
      </xdr:nvCxnSpPr>
      <xdr:spPr bwMode="auto">
        <a:xfrm flipV="1">
          <a:off x="10658475" y="4536282"/>
          <a:ext cx="450057" cy="44172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305876</xdr:colOff>
      <xdr:row>33</xdr:row>
      <xdr:rowOff>104775</xdr:rowOff>
    </xdr:from>
    <xdr:to>
      <xdr:col>20</xdr:col>
      <xdr:colOff>17866</xdr:colOff>
      <xdr:row>33</xdr:row>
      <xdr:rowOff>106363</xdr:rowOff>
    </xdr:to>
    <xdr:cxnSp macro="">
      <xdr:nvCxnSpPr>
        <xdr:cNvPr id="87" name="Straight Arrow Connector 86"/>
        <xdr:cNvCxnSpPr/>
      </xdr:nvCxnSpPr>
      <xdr:spPr>
        <a:xfrm>
          <a:off x="10630976" y="7248525"/>
          <a:ext cx="22634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63500</xdr:rowOff>
    </xdr:from>
    <xdr:to>
      <xdr:col>20</xdr:col>
      <xdr:colOff>50800</xdr:colOff>
      <xdr:row>19</xdr:row>
      <xdr:rowOff>101600</xdr:rowOff>
    </xdr:to>
    <xdr:cxnSp macro="">
      <xdr:nvCxnSpPr>
        <xdr:cNvPr id="88" name="Elbow Connector 87"/>
        <xdr:cNvCxnSpPr/>
      </xdr:nvCxnSpPr>
      <xdr:spPr>
        <a:xfrm flipV="1">
          <a:off x="10639425" y="3844925"/>
          <a:ext cx="250825" cy="285750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29292</xdr:colOff>
      <xdr:row>24</xdr:row>
      <xdr:rowOff>137946</xdr:rowOff>
    </xdr:from>
    <xdr:to>
      <xdr:col>12</xdr:col>
      <xdr:colOff>303612</xdr:colOff>
      <xdr:row>24</xdr:row>
      <xdr:rowOff>139534</xdr:rowOff>
    </xdr:to>
    <xdr:cxnSp macro="">
      <xdr:nvCxnSpPr>
        <xdr:cNvPr id="89" name="Straight Arrow Connector 88"/>
        <xdr:cNvCxnSpPr/>
      </xdr:nvCxnSpPr>
      <xdr:spPr>
        <a:xfrm>
          <a:off x="6992067" y="5262396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104775</xdr:colOff>
      <xdr:row>0</xdr:row>
      <xdr:rowOff>0</xdr:rowOff>
    </xdr:from>
    <xdr:to>
      <xdr:col>1</xdr:col>
      <xdr:colOff>609600</xdr:colOff>
      <xdr:row>2</xdr:row>
      <xdr:rowOff>9525</xdr:rowOff>
    </xdr:to>
    <xdr:pic>
      <xdr:nvPicPr>
        <xdr:cNvPr id="90" name="Picture 126" descr="LOGO PERBANAS INSTITUT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5048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2</xdr:row>
      <xdr:rowOff>57150</xdr:rowOff>
    </xdr:from>
    <xdr:to>
      <xdr:col>27</xdr:col>
      <xdr:colOff>9525</xdr:colOff>
      <xdr:row>2</xdr:row>
      <xdr:rowOff>58738</xdr:rowOff>
    </xdr:to>
    <xdr:cxnSp macro="">
      <xdr:nvCxnSpPr>
        <xdr:cNvPr id="91" name="Straight Connector 90"/>
        <xdr:cNvCxnSpPr/>
      </xdr:nvCxnSpPr>
      <xdr:spPr>
        <a:xfrm>
          <a:off x="266700" y="476250"/>
          <a:ext cx="15316200" cy="1588"/>
        </a:xfrm>
        <a:prstGeom prst="line">
          <a:avLst/>
        </a:prstGeom>
        <a:ln w="44450" cmpd="thickThin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20411</xdr:colOff>
      <xdr:row>40</xdr:row>
      <xdr:rowOff>156482</xdr:rowOff>
    </xdr:from>
    <xdr:to>
      <xdr:col>6</xdr:col>
      <xdr:colOff>340178</xdr:colOff>
      <xdr:row>40</xdr:row>
      <xdr:rowOff>156482</xdr:rowOff>
    </xdr:to>
    <xdr:cxnSp macro="">
      <xdr:nvCxnSpPr>
        <xdr:cNvPr id="92" name="Straight Arrow Connector 91"/>
        <xdr:cNvCxnSpPr/>
      </xdr:nvCxnSpPr>
      <xdr:spPr>
        <a:xfrm>
          <a:off x="1668236" y="8871857"/>
          <a:ext cx="2062842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17972</xdr:colOff>
      <xdr:row>14</xdr:row>
      <xdr:rowOff>134788</xdr:rowOff>
    </xdr:from>
    <xdr:to>
      <xdr:col>20</xdr:col>
      <xdr:colOff>26958</xdr:colOff>
      <xdr:row>15</xdr:row>
      <xdr:rowOff>161745</xdr:rowOff>
    </xdr:to>
    <xdr:cxnSp macro="">
      <xdr:nvCxnSpPr>
        <xdr:cNvPr id="93" name="Straight Connector 92"/>
        <xdr:cNvCxnSpPr/>
      </xdr:nvCxnSpPr>
      <xdr:spPr>
        <a:xfrm rot="5400000">
          <a:off x="10748424" y="3082236"/>
          <a:ext cx="226982" cy="8986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26958</xdr:colOff>
      <xdr:row>15</xdr:row>
      <xdr:rowOff>129877</xdr:rowOff>
    </xdr:from>
    <xdr:to>
      <xdr:col>22</xdr:col>
      <xdr:colOff>5191</xdr:colOff>
      <xdr:row>15</xdr:row>
      <xdr:rowOff>134787</xdr:rowOff>
    </xdr:to>
    <xdr:cxnSp macro="">
      <xdr:nvCxnSpPr>
        <xdr:cNvPr id="94" name="Straight Arrow Connector 93"/>
        <xdr:cNvCxnSpPr/>
      </xdr:nvCxnSpPr>
      <xdr:spPr>
        <a:xfrm flipV="1">
          <a:off x="10866408" y="3168352"/>
          <a:ext cx="292558" cy="491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134788</xdr:colOff>
      <xdr:row>15</xdr:row>
      <xdr:rowOff>116816</xdr:rowOff>
    </xdr:from>
    <xdr:to>
      <xdr:col>16</xdr:col>
      <xdr:colOff>265421</xdr:colOff>
      <xdr:row>15</xdr:row>
      <xdr:rowOff>120531</xdr:rowOff>
    </xdr:to>
    <xdr:cxnSp macro="">
      <xdr:nvCxnSpPr>
        <xdr:cNvPr id="95" name="Straight Arrow Connector 94"/>
        <xdr:cNvCxnSpPr/>
      </xdr:nvCxnSpPr>
      <xdr:spPr>
        <a:xfrm>
          <a:off x="8840638" y="3155291"/>
          <a:ext cx="321133" cy="371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14</xdr:row>
      <xdr:rowOff>133350</xdr:rowOff>
    </xdr:from>
    <xdr:to>
      <xdr:col>20</xdr:col>
      <xdr:colOff>19050</xdr:colOff>
      <xdr:row>14</xdr:row>
      <xdr:rowOff>133350</xdr:rowOff>
    </xdr:to>
    <xdr:cxnSp macro="">
      <xdr:nvCxnSpPr>
        <xdr:cNvPr id="96" name="Straight Connector 72"/>
        <xdr:cNvCxnSpPr/>
      </xdr:nvCxnSpPr>
      <xdr:spPr>
        <a:xfrm>
          <a:off x="8839200" y="2971800"/>
          <a:ext cx="201930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2" name="Straight Connector 1"/>
        <xdr:cNvCxnSpPr/>
      </xdr:nvCxnSpPr>
      <xdr:spPr bwMode="auto">
        <a:xfrm rot="5400000">
          <a:off x="10993044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</xdr:colOff>
      <xdr:row>38</xdr:row>
      <xdr:rowOff>123496</xdr:rowOff>
    </xdr:from>
    <xdr:to>
      <xdr:col>12</xdr:col>
      <xdr:colOff>306215</xdr:colOff>
      <xdr:row>38</xdr:row>
      <xdr:rowOff>123496</xdr:rowOff>
    </xdr:to>
    <xdr:cxnSp macro="">
      <xdr:nvCxnSpPr>
        <xdr:cNvPr id="3" name="Straight Arrow Connector 2"/>
        <xdr:cNvCxnSpPr/>
      </xdr:nvCxnSpPr>
      <xdr:spPr bwMode="auto">
        <a:xfrm>
          <a:off x="6976382" y="8429296"/>
          <a:ext cx="292608" cy="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144</xdr:row>
      <xdr:rowOff>120650</xdr:rowOff>
    </xdr:from>
    <xdr:to>
      <xdr:col>1</xdr:col>
      <xdr:colOff>797719</xdr:colOff>
      <xdr:row>144</xdr:row>
      <xdr:rowOff>122238</xdr:rowOff>
    </xdr:to>
    <xdr:cxnSp macro="">
      <xdr:nvCxnSpPr>
        <xdr:cNvPr id="4" name="Straight Arrow Connector 3"/>
        <xdr:cNvCxnSpPr/>
      </xdr:nvCxnSpPr>
      <xdr:spPr bwMode="auto">
        <a:xfrm>
          <a:off x="288131" y="27724100"/>
          <a:ext cx="738188" cy="1588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2548</xdr:colOff>
      <xdr:row>7</xdr:row>
      <xdr:rowOff>114921</xdr:rowOff>
    </xdr:from>
    <xdr:to>
      <xdr:col>12</xdr:col>
      <xdr:colOff>313444</xdr:colOff>
      <xdr:row>7</xdr:row>
      <xdr:rowOff>114921</xdr:rowOff>
    </xdr:to>
    <xdr:cxnSp macro="">
      <xdr:nvCxnSpPr>
        <xdr:cNvPr id="5" name="Straight Arrow Connector 4"/>
        <xdr:cNvCxnSpPr/>
      </xdr:nvCxnSpPr>
      <xdr:spPr>
        <a:xfrm>
          <a:off x="6965323" y="1534146"/>
          <a:ext cx="3108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8187</xdr:colOff>
      <xdr:row>13</xdr:row>
      <xdr:rowOff>119218</xdr:rowOff>
    </xdr:from>
    <xdr:to>
      <xdr:col>12</xdr:col>
      <xdr:colOff>282507</xdr:colOff>
      <xdr:row>13</xdr:row>
      <xdr:rowOff>119218</xdr:rowOff>
    </xdr:to>
    <xdr:cxnSp macro="">
      <xdr:nvCxnSpPr>
        <xdr:cNvPr id="6" name="Straight Arrow Connector 5"/>
        <xdr:cNvCxnSpPr/>
      </xdr:nvCxnSpPr>
      <xdr:spPr>
        <a:xfrm flipV="1">
          <a:off x="6970962" y="2710018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178143</xdr:colOff>
      <xdr:row>2</xdr:row>
      <xdr:rowOff>38615</xdr:rowOff>
    </xdr:from>
    <xdr:ext cx="194454" cy="283457"/>
    <xdr:sp macro="" textlink="">
      <xdr:nvSpPr>
        <xdr:cNvPr id="7" name="TextBox 6"/>
        <xdr:cNvSpPr txBox="1"/>
      </xdr:nvSpPr>
      <xdr:spPr>
        <a:xfrm>
          <a:off x="3569043" y="457715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3</xdr:col>
      <xdr:colOff>25741</xdr:colOff>
      <xdr:row>5</xdr:row>
      <xdr:rowOff>68036</xdr:rowOff>
    </xdr:from>
    <xdr:to>
      <xdr:col>16</xdr:col>
      <xdr:colOff>239101</xdr:colOff>
      <xdr:row>5</xdr:row>
      <xdr:rowOff>70796</xdr:rowOff>
    </xdr:to>
    <xdr:cxnSp macro="">
      <xdr:nvCxnSpPr>
        <xdr:cNvPr id="8" name="Straight Arrow Connector 7"/>
        <xdr:cNvCxnSpPr/>
      </xdr:nvCxnSpPr>
      <xdr:spPr>
        <a:xfrm flipV="1">
          <a:off x="1673566" y="1058636"/>
          <a:ext cx="7461885" cy="27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29634</xdr:colOff>
      <xdr:row>7</xdr:row>
      <xdr:rowOff>106562</xdr:rowOff>
    </xdr:from>
    <xdr:to>
      <xdr:col>6</xdr:col>
      <xdr:colOff>325967</xdr:colOff>
      <xdr:row>7</xdr:row>
      <xdr:rowOff>106570</xdr:rowOff>
    </xdr:to>
    <xdr:cxnSp macro="">
      <xdr:nvCxnSpPr>
        <xdr:cNvPr id="9" name="Straight Arrow Connector 8"/>
        <xdr:cNvCxnSpPr/>
      </xdr:nvCxnSpPr>
      <xdr:spPr>
        <a:xfrm flipV="1">
          <a:off x="3420534" y="1525787"/>
          <a:ext cx="296333" cy="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33850</xdr:colOff>
      <xdr:row>7</xdr:row>
      <xdr:rowOff>106562</xdr:rowOff>
    </xdr:from>
    <xdr:to>
      <xdr:col>9</xdr:col>
      <xdr:colOff>353890</xdr:colOff>
      <xdr:row>7</xdr:row>
      <xdr:rowOff>106589</xdr:rowOff>
    </xdr:to>
    <xdr:cxnSp macro="">
      <xdr:nvCxnSpPr>
        <xdr:cNvPr id="10" name="Straight Arrow Connector 9"/>
        <xdr:cNvCxnSpPr/>
      </xdr:nvCxnSpPr>
      <xdr:spPr>
        <a:xfrm flipV="1">
          <a:off x="5205925" y="1525787"/>
          <a:ext cx="32004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25572</xdr:colOff>
      <xdr:row>5</xdr:row>
      <xdr:rowOff>121252</xdr:rowOff>
    </xdr:from>
    <xdr:to>
      <xdr:col>21</xdr:col>
      <xdr:colOff>122367</xdr:colOff>
      <xdr:row>5</xdr:row>
      <xdr:rowOff>121252</xdr:rowOff>
    </xdr:to>
    <xdr:cxnSp macro="">
      <xdr:nvCxnSpPr>
        <xdr:cNvPr id="11" name="Straight Arrow Connector 10"/>
        <xdr:cNvCxnSpPr/>
      </xdr:nvCxnSpPr>
      <xdr:spPr>
        <a:xfrm>
          <a:off x="10664997" y="1111852"/>
          <a:ext cx="458745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7</xdr:row>
      <xdr:rowOff>95250</xdr:rowOff>
    </xdr:from>
    <xdr:to>
      <xdr:col>22</xdr:col>
      <xdr:colOff>0</xdr:colOff>
      <xdr:row>9</xdr:row>
      <xdr:rowOff>85725</xdr:rowOff>
    </xdr:to>
    <xdr:grpSp>
      <xdr:nvGrpSpPr>
        <xdr:cNvPr id="12" name="Group 13"/>
        <xdr:cNvGrpSpPr>
          <a:grpSpLocks/>
        </xdr:cNvGrpSpPr>
      </xdr:nvGrpSpPr>
      <xdr:grpSpPr bwMode="auto">
        <a:xfrm>
          <a:off x="10648950" y="1514475"/>
          <a:ext cx="504825" cy="438150"/>
          <a:chOff x="10441472" y="1246334"/>
          <a:chExt cx="369713" cy="184305"/>
        </a:xfrm>
      </xdr:grpSpPr>
      <xdr:cxnSp macro="">
        <xdr:nvCxnSpPr>
          <xdr:cNvPr id="13" name="Straight Arrow Connector 12"/>
          <xdr:cNvCxnSpPr/>
        </xdr:nvCxnSpPr>
        <xdr:spPr>
          <a:xfrm>
            <a:off x="10441472" y="1246334"/>
            <a:ext cx="369713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Elbow Connector 13"/>
          <xdr:cNvCxnSpPr/>
        </xdr:nvCxnSpPr>
        <xdr:spPr>
          <a:xfrm>
            <a:off x="10441472" y="1246334"/>
            <a:ext cx="369713" cy="184305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30327</xdr:colOff>
      <xdr:row>13</xdr:row>
      <xdr:rowOff>118898</xdr:rowOff>
    </xdr:from>
    <xdr:to>
      <xdr:col>3</xdr:col>
      <xdr:colOff>286359</xdr:colOff>
      <xdr:row>13</xdr:row>
      <xdr:rowOff>118926</xdr:rowOff>
    </xdr:to>
    <xdr:cxnSp macro="">
      <xdr:nvCxnSpPr>
        <xdr:cNvPr id="15" name="Straight Arrow Connector 14"/>
        <xdr:cNvCxnSpPr/>
      </xdr:nvCxnSpPr>
      <xdr:spPr>
        <a:xfrm flipV="1">
          <a:off x="1678152" y="2709698"/>
          <a:ext cx="256032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17627</xdr:colOff>
      <xdr:row>13</xdr:row>
      <xdr:rowOff>80798</xdr:rowOff>
    </xdr:from>
    <xdr:to>
      <xdr:col>6</xdr:col>
      <xdr:colOff>349997</xdr:colOff>
      <xdr:row>13</xdr:row>
      <xdr:rowOff>80825</xdr:rowOff>
    </xdr:to>
    <xdr:cxnSp macro="">
      <xdr:nvCxnSpPr>
        <xdr:cNvPr id="16" name="Straight Arrow Connector 15"/>
        <xdr:cNvCxnSpPr/>
      </xdr:nvCxnSpPr>
      <xdr:spPr>
        <a:xfrm flipV="1">
          <a:off x="3408527" y="2671598"/>
          <a:ext cx="33237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200742</xdr:colOff>
      <xdr:row>17</xdr:row>
      <xdr:rowOff>86442</xdr:rowOff>
    </xdr:from>
    <xdr:to>
      <xdr:col>10</xdr:col>
      <xdr:colOff>6866</xdr:colOff>
      <xdr:row>17</xdr:row>
      <xdr:rowOff>86442</xdr:rowOff>
    </xdr:to>
    <xdr:cxnSp macro="">
      <xdr:nvCxnSpPr>
        <xdr:cNvPr id="17" name="Straight Arrow Connector 16"/>
        <xdr:cNvCxnSpPr/>
      </xdr:nvCxnSpPr>
      <xdr:spPr>
        <a:xfrm>
          <a:off x="5372817" y="3620217"/>
          <a:ext cx="168074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22953</xdr:colOff>
      <xdr:row>31</xdr:row>
      <xdr:rowOff>125173</xdr:rowOff>
    </xdr:from>
    <xdr:to>
      <xdr:col>12</xdr:col>
      <xdr:colOff>297273</xdr:colOff>
      <xdr:row>31</xdr:row>
      <xdr:rowOff>126761</xdr:rowOff>
    </xdr:to>
    <xdr:cxnSp macro="">
      <xdr:nvCxnSpPr>
        <xdr:cNvPr id="18" name="Straight Arrow Connector 17"/>
        <xdr:cNvCxnSpPr/>
      </xdr:nvCxnSpPr>
      <xdr:spPr>
        <a:xfrm>
          <a:off x="6985728" y="6773623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13</xdr:row>
      <xdr:rowOff>104775</xdr:rowOff>
    </xdr:from>
    <xdr:to>
      <xdr:col>22</xdr:col>
      <xdr:colOff>0</xdr:colOff>
      <xdr:row>13</xdr:row>
      <xdr:rowOff>104775</xdr:rowOff>
    </xdr:to>
    <xdr:cxnSp macro="">
      <xdr:nvCxnSpPr>
        <xdr:cNvPr id="19" name="Straight Arrow Connector 18"/>
        <xdr:cNvCxnSpPr/>
      </xdr:nvCxnSpPr>
      <xdr:spPr bwMode="auto">
        <a:xfrm>
          <a:off x="10648950" y="2695575"/>
          <a:ext cx="504825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45904</xdr:colOff>
      <xdr:row>17</xdr:row>
      <xdr:rowOff>93440</xdr:rowOff>
    </xdr:from>
    <xdr:to>
      <xdr:col>22</xdr:col>
      <xdr:colOff>3279</xdr:colOff>
      <xdr:row>17</xdr:row>
      <xdr:rowOff>93815</xdr:rowOff>
    </xdr:to>
    <xdr:cxnSp macro="">
      <xdr:nvCxnSpPr>
        <xdr:cNvPr id="20" name="Straight Arrow Connector 19"/>
        <xdr:cNvCxnSpPr/>
      </xdr:nvCxnSpPr>
      <xdr:spPr>
        <a:xfrm>
          <a:off x="10885354" y="3627215"/>
          <a:ext cx="271700" cy="375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15507</xdr:colOff>
      <xdr:row>45</xdr:row>
      <xdr:rowOff>150132</xdr:rowOff>
    </xdr:from>
    <xdr:to>
      <xdr:col>3</xdr:col>
      <xdr:colOff>271539</xdr:colOff>
      <xdr:row>45</xdr:row>
      <xdr:rowOff>150132</xdr:rowOff>
    </xdr:to>
    <xdr:cxnSp macro="">
      <xdr:nvCxnSpPr>
        <xdr:cNvPr id="21" name="Straight Arrow Connector 20"/>
        <xdr:cNvCxnSpPr/>
      </xdr:nvCxnSpPr>
      <xdr:spPr>
        <a:xfrm>
          <a:off x="1663332" y="9846582"/>
          <a:ext cx="2560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31495</xdr:colOff>
      <xdr:row>42</xdr:row>
      <xdr:rowOff>186311</xdr:rowOff>
    </xdr:from>
    <xdr:to>
      <xdr:col>6</xdr:col>
      <xdr:colOff>346856</xdr:colOff>
      <xdr:row>42</xdr:row>
      <xdr:rowOff>186339</xdr:rowOff>
    </xdr:to>
    <xdr:cxnSp macro="">
      <xdr:nvCxnSpPr>
        <xdr:cNvPr id="22" name="Straight Arrow Connector 21"/>
        <xdr:cNvCxnSpPr/>
      </xdr:nvCxnSpPr>
      <xdr:spPr>
        <a:xfrm flipV="1">
          <a:off x="3422395" y="9349361"/>
          <a:ext cx="315361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25400</xdr:colOff>
      <xdr:row>45</xdr:row>
      <xdr:rowOff>155919</xdr:rowOff>
    </xdr:from>
    <xdr:to>
      <xdr:col>16</xdr:col>
      <xdr:colOff>230986</xdr:colOff>
      <xdr:row>45</xdr:row>
      <xdr:rowOff>155919</xdr:rowOff>
    </xdr:to>
    <xdr:cxnSp macro="">
      <xdr:nvCxnSpPr>
        <xdr:cNvPr id="23" name="Straight Arrow Connector 22"/>
        <xdr:cNvCxnSpPr/>
      </xdr:nvCxnSpPr>
      <xdr:spPr>
        <a:xfrm flipV="1">
          <a:off x="5197475" y="9852369"/>
          <a:ext cx="3929861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40</xdr:row>
      <xdr:rowOff>155772</xdr:rowOff>
    </xdr:from>
    <xdr:to>
      <xdr:col>16</xdr:col>
      <xdr:colOff>253840</xdr:colOff>
      <xdr:row>40</xdr:row>
      <xdr:rowOff>159782</xdr:rowOff>
    </xdr:to>
    <xdr:cxnSp macro="">
      <xdr:nvCxnSpPr>
        <xdr:cNvPr id="24" name="Straight Arrow Connector 23"/>
        <xdr:cNvCxnSpPr/>
      </xdr:nvCxnSpPr>
      <xdr:spPr>
        <a:xfrm flipV="1">
          <a:off x="8715375" y="8871147"/>
          <a:ext cx="434815" cy="401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5954</xdr:colOff>
      <xdr:row>40</xdr:row>
      <xdr:rowOff>97633</xdr:rowOff>
    </xdr:from>
    <xdr:to>
      <xdr:col>21</xdr:col>
      <xdr:colOff>120254</xdr:colOff>
      <xdr:row>40</xdr:row>
      <xdr:rowOff>97633</xdr:rowOff>
    </xdr:to>
    <xdr:cxnSp macro="">
      <xdr:nvCxnSpPr>
        <xdr:cNvPr id="25" name="Straight Arrow Connector 24"/>
        <xdr:cNvCxnSpPr/>
      </xdr:nvCxnSpPr>
      <xdr:spPr bwMode="auto">
        <a:xfrm>
          <a:off x="10645379" y="8813008"/>
          <a:ext cx="4762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38</xdr:row>
      <xdr:rowOff>109373</xdr:rowOff>
    </xdr:from>
    <xdr:to>
      <xdr:col>9</xdr:col>
      <xdr:colOff>329565</xdr:colOff>
      <xdr:row>38</xdr:row>
      <xdr:rowOff>109400</xdr:rowOff>
    </xdr:to>
    <xdr:cxnSp macro="">
      <xdr:nvCxnSpPr>
        <xdr:cNvPr id="26" name="Straight Arrow Connector 25"/>
        <xdr:cNvCxnSpPr/>
      </xdr:nvCxnSpPr>
      <xdr:spPr>
        <a:xfrm flipV="1">
          <a:off x="5181600" y="8415173"/>
          <a:ext cx="32004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149227</xdr:colOff>
      <xdr:row>13</xdr:row>
      <xdr:rowOff>114304</xdr:rowOff>
    </xdr:from>
    <xdr:to>
      <xdr:col>9</xdr:col>
      <xdr:colOff>149227</xdr:colOff>
      <xdr:row>31</xdr:row>
      <xdr:rowOff>146256</xdr:rowOff>
    </xdr:to>
    <xdr:cxnSp macro="">
      <xdr:nvCxnSpPr>
        <xdr:cNvPr id="27" name="Straight Connector 26"/>
        <xdr:cNvCxnSpPr/>
      </xdr:nvCxnSpPr>
      <xdr:spPr>
        <a:xfrm rot="5400000">
          <a:off x="3276501" y="4749905"/>
          <a:ext cx="408960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153128</xdr:colOff>
      <xdr:row>31</xdr:row>
      <xdr:rowOff>145180</xdr:rowOff>
    </xdr:from>
    <xdr:to>
      <xdr:col>9</xdr:col>
      <xdr:colOff>354296</xdr:colOff>
      <xdr:row>31</xdr:row>
      <xdr:rowOff>146767</xdr:rowOff>
    </xdr:to>
    <xdr:cxnSp macro="">
      <xdr:nvCxnSpPr>
        <xdr:cNvPr id="28" name="Straight Arrow Connector 27"/>
        <xdr:cNvCxnSpPr/>
      </xdr:nvCxnSpPr>
      <xdr:spPr>
        <a:xfrm flipV="1">
          <a:off x="5325203" y="6793630"/>
          <a:ext cx="201168" cy="158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23897</xdr:colOff>
      <xdr:row>45</xdr:row>
      <xdr:rowOff>153651</xdr:rowOff>
    </xdr:from>
    <xdr:to>
      <xdr:col>6</xdr:col>
      <xdr:colOff>316505</xdr:colOff>
      <xdr:row>45</xdr:row>
      <xdr:rowOff>153679</xdr:rowOff>
    </xdr:to>
    <xdr:cxnSp macro="">
      <xdr:nvCxnSpPr>
        <xdr:cNvPr id="29" name="Straight Arrow Connector 28"/>
        <xdr:cNvCxnSpPr/>
      </xdr:nvCxnSpPr>
      <xdr:spPr>
        <a:xfrm flipV="1">
          <a:off x="3414797" y="9850101"/>
          <a:ext cx="292608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13607</xdr:colOff>
      <xdr:row>7</xdr:row>
      <xdr:rowOff>95250</xdr:rowOff>
    </xdr:from>
    <xdr:to>
      <xdr:col>16</xdr:col>
      <xdr:colOff>276210</xdr:colOff>
      <xdr:row>7</xdr:row>
      <xdr:rowOff>95251</xdr:rowOff>
    </xdr:to>
    <xdr:cxnSp macro="">
      <xdr:nvCxnSpPr>
        <xdr:cNvPr id="30" name="Straight Arrow Connector 29"/>
        <xdr:cNvCxnSpPr/>
      </xdr:nvCxnSpPr>
      <xdr:spPr>
        <a:xfrm>
          <a:off x="8719457" y="1514475"/>
          <a:ext cx="453103" cy="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22953</xdr:colOff>
      <xdr:row>17</xdr:row>
      <xdr:rowOff>115983</xdr:rowOff>
    </xdr:from>
    <xdr:to>
      <xdr:col>12</xdr:col>
      <xdr:colOff>297273</xdr:colOff>
      <xdr:row>17</xdr:row>
      <xdr:rowOff>117571</xdr:rowOff>
    </xdr:to>
    <xdr:cxnSp macro="">
      <xdr:nvCxnSpPr>
        <xdr:cNvPr id="31" name="Straight Arrow Connector 30"/>
        <xdr:cNvCxnSpPr/>
      </xdr:nvCxnSpPr>
      <xdr:spPr>
        <a:xfrm>
          <a:off x="6985728" y="3649758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10948</xdr:colOff>
      <xdr:row>31</xdr:row>
      <xdr:rowOff>236151</xdr:rowOff>
    </xdr:from>
    <xdr:to>
      <xdr:col>3</xdr:col>
      <xdr:colOff>285268</xdr:colOff>
      <xdr:row>31</xdr:row>
      <xdr:rowOff>237739</xdr:rowOff>
    </xdr:to>
    <xdr:cxnSp macro="">
      <xdr:nvCxnSpPr>
        <xdr:cNvPr id="32" name="Straight Arrow Connector 31"/>
        <xdr:cNvCxnSpPr/>
      </xdr:nvCxnSpPr>
      <xdr:spPr>
        <a:xfrm>
          <a:off x="1658773" y="6884601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11</xdr:row>
      <xdr:rowOff>95250</xdr:rowOff>
    </xdr:from>
    <xdr:to>
      <xdr:col>22</xdr:col>
      <xdr:colOff>0</xdr:colOff>
      <xdr:row>11</xdr:row>
      <xdr:rowOff>95250</xdr:rowOff>
    </xdr:to>
    <xdr:cxnSp macro="">
      <xdr:nvCxnSpPr>
        <xdr:cNvPr id="33" name="Straight Arrow Connector 32"/>
        <xdr:cNvCxnSpPr/>
      </xdr:nvCxnSpPr>
      <xdr:spPr bwMode="auto">
        <a:xfrm>
          <a:off x="7115175" y="2314575"/>
          <a:ext cx="4038600" cy="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14946</xdr:colOff>
      <xdr:row>42</xdr:row>
      <xdr:rowOff>196168</xdr:rowOff>
    </xdr:from>
    <xdr:to>
      <xdr:col>3</xdr:col>
      <xdr:colOff>270978</xdr:colOff>
      <xdr:row>42</xdr:row>
      <xdr:rowOff>196168</xdr:rowOff>
    </xdr:to>
    <xdr:cxnSp macro="">
      <xdr:nvCxnSpPr>
        <xdr:cNvPr id="34" name="Straight Arrow Connector 33"/>
        <xdr:cNvCxnSpPr/>
      </xdr:nvCxnSpPr>
      <xdr:spPr bwMode="auto">
        <a:xfrm>
          <a:off x="1662771" y="9359218"/>
          <a:ext cx="256032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35" name="Straight Connector 34"/>
        <xdr:cNvCxnSpPr/>
      </xdr:nvCxnSpPr>
      <xdr:spPr bwMode="auto">
        <a:xfrm rot="5400000">
          <a:off x="10993044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32</xdr:row>
      <xdr:rowOff>107949</xdr:rowOff>
    </xdr:from>
    <xdr:to>
      <xdr:col>21</xdr:col>
      <xdr:colOff>7</xdr:colOff>
      <xdr:row>32</xdr:row>
      <xdr:rowOff>124618</xdr:rowOff>
    </xdr:to>
    <xdr:cxnSp macro="">
      <xdr:nvCxnSpPr>
        <xdr:cNvPr id="36" name="Straight Connector 35"/>
        <xdr:cNvCxnSpPr/>
      </xdr:nvCxnSpPr>
      <xdr:spPr bwMode="auto">
        <a:xfrm rot="5400000">
          <a:off x="10993044" y="701238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32</xdr:row>
      <xdr:rowOff>116114</xdr:rowOff>
    </xdr:from>
    <xdr:to>
      <xdr:col>22</xdr:col>
      <xdr:colOff>1361</xdr:colOff>
      <xdr:row>32</xdr:row>
      <xdr:rowOff>116114</xdr:rowOff>
    </xdr:to>
    <xdr:cxnSp macro="">
      <xdr:nvCxnSpPr>
        <xdr:cNvPr id="37" name="Straight Arrow Connector 36"/>
        <xdr:cNvCxnSpPr/>
      </xdr:nvCxnSpPr>
      <xdr:spPr>
        <a:xfrm>
          <a:off x="11001375" y="7012214"/>
          <a:ext cx="15376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154802</xdr:colOff>
      <xdr:row>30</xdr:row>
      <xdr:rowOff>76418</xdr:rowOff>
    </xdr:from>
    <xdr:to>
      <xdr:col>20</xdr:col>
      <xdr:colOff>158382</xdr:colOff>
      <xdr:row>32</xdr:row>
      <xdr:rowOff>124592</xdr:rowOff>
    </xdr:to>
    <xdr:cxnSp macro="">
      <xdr:nvCxnSpPr>
        <xdr:cNvPr id="38" name="Straight Connector 37"/>
        <xdr:cNvCxnSpPr/>
      </xdr:nvCxnSpPr>
      <xdr:spPr>
        <a:xfrm rot="5400000">
          <a:off x="10724305" y="6747165"/>
          <a:ext cx="543474" cy="3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30</xdr:row>
      <xdr:rowOff>83780</xdr:rowOff>
    </xdr:from>
    <xdr:to>
      <xdr:col>21</xdr:col>
      <xdr:colOff>149926</xdr:colOff>
      <xdr:row>30</xdr:row>
      <xdr:rowOff>83780</xdr:rowOff>
    </xdr:to>
    <xdr:cxnSp macro="">
      <xdr:nvCxnSpPr>
        <xdr:cNvPr id="39" name="Straight Arrow Connector 38"/>
        <xdr:cNvCxnSpPr/>
      </xdr:nvCxnSpPr>
      <xdr:spPr>
        <a:xfrm>
          <a:off x="11007065" y="64845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40" name="Straight Connector 39"/>
        <xdr:cNvCxnSpPr/>
      </xdr:nvCxnSpPr>
      <xdr:spPr bwMode="auto">
        <a:xfrm rot="5400000">
          <a:off x="10993044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36</xdr:row>
      <xdr:rowOff>117474</xdr:rowOff>
    </xdr:from>
    <xdr:to>
      <xdr:col>21</xdr:col>
      <xdr:colOff>7</xdr:colOff>
      <xdr:row>36</xdr:row>
      <xdr:rowOff>134143</xdr:rowOff>
    </xdr:to>
    <xdr:cxnSp macro="">
      <xdr:nvCxnSpPr>
        <xdr:cNvPr id="41" name="Straight Connector 40"/>
        <xdr:cNvCxnSpPr/>
      </xdr:nvCxnSpPr>
      <xdr:spPr bwMode="auto">
        <a:xfrm rot="5400000">
          <a:off x="10993044" y="7936306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161925</xdr:colOff>
      <xdr:row>36</xdr:row>
      <xdr:rowOff>58964</xdr:rowOff>
    </xdr:from>
    <xdr:to>
      <xdr:col>21</xdr:col>
      <xdr:colOff>134711</xdr:colOff>
      <xdr:row>36</xdr:row>
      <xdr:rowOff>58964</xdr:rowOff>
    </xdr:to>
    <xdr:cxnSp macro="">
      <xdr:nvCxnSpPr>
        <xdr:cNvPr id="42" name="Straight Arrow Connector 41"/>
        <xdr:cNvCxnSpPr/>
      </xdr:nvCxnSpPr>
      <xdr:spPr>
        <a:xfrm>
          <a:off x="11001375" y="7869464"/>
          <a:ext cx="13471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34</xdr:row>
      <xdr:rowOff>68343</xdr:rowOff>
    </xdr:from>
    <xdr:to>
      <xdr:col>21</xdr:col>
      <xdr:colOff>5015</xdr:colOff>
      <xdr:row>36</xdr:row>
      <xdr:rowOff>50799</xdr:rowOff>
    </xdr:to>
    <xdr:cxnSp macro="">
      <xdr:nvCxnSpPr>
        <xdr:cNvPr id="43" name="Straight Connector 42"/>
        <xdr:cNvCxnSpPr/>
      </xdr:nvCxnSpPr>
      <xdr:spPr>
        <a:xfrm rot="5400000">
          <a:off x="10803105" y="7658014"/>
          <a:ext cx="401556" cy="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34</xdr:row>
      <xdr:rowOff>83780</xdr:rowOff>
    </xdr:from>
    <xdr:to>
      <xdr:col>21</xdr:col>
      <xdr:colOff>149926</xdr:colOff>
      <xdr:row>34</xdr:row>
      <xdr:rowOff>83780</xdr:rowOff>
    </xdr:to>
    <xdr:cxnSp macro="">
      <xdr:nvCxnSpPr>
        <xdr:cNvPr id="44" name="Straight Arrow Connector 43"/>
        <xdr:cNvCxnSpPr/>
      </xdr:nvCxnSpPr>
      <xdr:spPr>
        <a:xfrm>
          <a:off x="11007065" y="74751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63500</xdr:rowOff>
    </xdr:from>
    <xdr:to>
      <xdr:col>9</xdr:col>
      <xdr:colOff>330200</xdr:colOff>
      <xdr:row>13</xdr:row>
      <xdr:rowOff>65088</xdr:rowOff>
    </xdr:to>
    <xdr:cxnSp macro="">
      <xdr:nvCxnSpPr>
        <xdr:cNvPr id="45" name="Straight Arrow Connector 44"/>
        <xdr:cNvCxnSpPr/>
      </xdr:nvCxnSpPr>
      <xdr:spPr>
        <a:xfrm>
          <a:off x="5172075" y="2654300"/>
          <a:ext cx="330200" cy="158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304800</xdr:colOff>
      <xdr:row>13</xdr:row>
      <xdr:rowOff>85725</xdr:rowOff>
    </xdr:from>
    <xdr:to>
      <xdr:col>16</xdr:col>
      <xdr:colOff>276225</xdr:colOff>
      <xdr:row>17</xdr:row>
      <xdr:rowOff>38100</xdr:rowOff>
    </xdr:to>
    <xdr:grpSp>
      <xdr:nvGrpSpPr>
        <xdr:cNvPr id="46" name="Group 61"/>
        <xdr:cNvGrpSpPr>
          <a:grpSpLocks/>
        </xdr:cNvGrpSpPr>
      </xdr:nvGrpSpPr>
      <xdr:grpSpPr bwMode="auto">
        <a:xfrm>
          <a:off x="8696325" y="2676525"/>
          <a:ext cx="476250" cy="895350"/>
          <a:chOff x="10304044" y="1246340"/>
          <a:chExt cx="523028" cy="194658"/>
        </a:xfrm>
      </xdr:grpSpPr>
      <xdr:cxnSp macro="">
        <xdr:nvCxnSpPr>
          <xdr:cNvPr id="47" name="Straight Arrow Connector 46"/>
          <xdr:cNvCxnSpPr/>
        </xdr:nvCxnSpPr>
        <xdr:spPr>
          <a:xfrm>
            <a:off x="10513255" y="1246340"/>
            <a:ext cx="313817" cy="0"/>
          </a:xfrm>
          <a:prstGeom prst="straightConnector1">
            <a:avLst/>
          </a:prstGeom>
          <a:ln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Elbow Connector 47"/>
          <xdr:cNvCxnSpPr/>
        </xdr:nvCxnSpPr>
        <xdr:spPr>
          <a:xfrm>
            <a:off x="10304044" y="1246340"/>
            <a:ext cx="355659" cy="194658"/>
          </a:xfrm>
          <a:prstGeom prst="bentConnector3">
            <a:avLst>
              <a:gd name="adj1" fmla="val 50000"/>
            </a:avLst>
          </a:prstGeom>
          <a:ln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25400</xdr:colOff>
      <xdr:row>40</xdr:row>
      <xdr:rowOff>152071</xdr:rowOff>
    </xdr:from>
    <xdr:to>
      <xdr:col>9</xdr:col>
      <xdr:colOff>345440</xdr:colOff>
      <xdr:row>40</xdr:row>
      <xdr:rowOff>152071</xdr:rowOff>
    </xdr:to>
    <xdr:cxnSp macro="">
      <xdr:nvCxnSpPr>
        <xdr:cNvPr id="49" name="Straight Arrow Connector 48"/>
        <xdr:cNvCxnSpPr/>
      </xdr:nvCxnSpPr>
      <xdr:spPr>
        <a:xfrm flipV="1">
          <a:off x="5197475" y="8867446"/>
          <a:ext cx="32004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40</xdr:row>
      <xdr:rowOff>153885</xdr:rowOff>
    </xdr:from>
    <xdr:to>
      <xdr:col>12</xdr:col>
      <xdr:colOff>305308</xdr:colOff>
      <xdr:row>40</xdr:row>
      <xdr:rowOff>153885</xdr:rowOff>
    </xdr:to>
    <xdr:cxnSp macro="">
      <xdr:nvCxnSpPr>
        <xdr:cNvPr id="50" name="Straight Arrow Connector 49"/>
        <xdr:cNvCxnSpPr/>
      </xdr:nvCxnSpPr>
      <xdr:spPr>
        <a:xfrm>
          <a:off x="6975475" y="8869260"/>
          <a:ext cx="292608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25400</xdr:rowOff>
    </xdr:from>
    <xdr:to>
      <xdr:col>12</xdr:col>
      <xdr:colOff>152400</xdr:colOff>
      <xdr:row>13</xdr:row>
      <xdr:rowOff>25400</xdr:rowOff>
    </xdr:to>
    <xdr:cxnSp macro="">
      <xdr:nvCxnSpPr>
        <xdr:cNvPr id="51" name="Straight Connector 50"/>
        <xdr:cNvCxnSpPr/>
      </xdr:nvCxnSpPr>
      <xdr:spPr>
        <a:xfrm flipV="1">
          <a:off x="6962775" y="2616200"/>
          <a:ext cx="15240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10025</xdr:colOff>
      <xdr:row>13</xdr:row>
      <xdr:rowOff>121987</xdr:rowOff>
    </xdr:from>
    <xdr:to>
      <xdr:col>9</xdr:col>
      <xdr:colOff>147185</xdr:colOff>
      <xdr:row>13</xdr:row>
      <xdr:rowOff>121987</xdr:rowOff>
    </xdr:to>
    <xdr:cxnSp macro="">
      <xdr:nvCxnSpPr>
        <xdr:cNvPr id="52" name="Straight Connector 51"/>
        <xdr:cNvCxnSpPr/>
      </xdr:nvCxnSpPr>
      <xdr:spPr>
        <a:xfrm flipV="1">
          <a:off x="5182100" y="2712787"/>
          <a:ext cx="137160" cy="0"/>
        </a:xfrm>
        <a:prstGeom prst="line">
          <a:avLst/>
        </a:prstGeom>
        <a:ln cmpd="sng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123823</xdr:colOff>
      <xdr:row>13</xdr:row>
      <xdr:rowOff>89061</xdr:rowOff>
    </xdr:from>
    <xdr:to>
      <xdr:col>6</xdr:col>
      <xdr:colOff>142873</xdr:colOff>
      <xdr:row>37</xdr:row>
      <xdr:rowOff>128571</xdr:rowOff>
    </xdr:to>
    <xdr:cxnSp macro="">
      <xdr:nvCxnSpPr>
        <xdr:cNvPr id="53" name="Straight Connector 52"/>
        <xdr:cNvCxnSpPr/>
      </xdr:nvCxnSpPr>
      <xdr:spPr>
        <a:xfrm rot="16200000" flipH="1">
          <a:off x="770818" y="5423766"/>
          <a:ext cx="550686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37</xdr:row>
      <xdr:rowOff>128423</xdr:rowOff>
    </xdr:from>
    <xdr:to>
      <xdr:col>7</xdr:col>
      <xdr:colOff>762</xdr:colOff>
      <xdr:row>37</xdr:row>
      <xdr:rowOff>128423</xdr:rowOff>
    </xdr:to>
    <xdr:cxnSp macro="">
      <xdr:nvCxnSpPr>
        <xdr:cNvPr id="54" name="Straight Arrow Connector 53"/>
        <xdr:cNvCxnSpPr/>
      </xdr:nvCxnSpPr>
      <xdr:spPr>
        <a:xfrm>
          <a:off x="3533775" y="8186573"/>
          <a:ext cx="210312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32</xdr:row>
      <xdr:rowOff>107949</xdr:rowOff>
    </xdr:from>
    <xdr:to>
      <xdr:col>21</xdr:col>
      <xdr:colOff>7</xdr:colOff>
      <xdr:row>32</xdr:row>
      <xdr:rowOff>124618</xdr:rowOff>
    </xdr:to>
    <xdr:cxnSp macro="">
      <xdr:nvCxnSpPr>
        <xdr:cNvPr id="55" name="Straight Connector 54"/>
        <xdr:cNvCxnSpPr/>
      </xdr:nvCxnSpPr>
      <xdr:spPr bwMode="auto">
        <a:xfrm rot="5400000">
          <a:off x="10993044" y="701238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32</xdr:row>
      <xdr:rowOff>116114</xdr:rowOff>
    </xdr:from>
    <xdr:to>
      <xdr:col>22</xdr:col>
      <xdr:colOff>1361</xdr:colOff>
      <xdr:row>32</xdr:row>
      <xdr:rowOff>116114</xdr:rowOff>
    </xdr:to>
    <xdr:cxnSp macro="">
      <xdr:nvCxnSpPr>
        <xdr:cNvPr id="56" name="Straight Arrow Connector 55"/>
        <xdr:cNvCxnSpPr/>
      </xdr:nvCxnSpPr>
      <xdr:spPr>
        <a:xfrm>
          <a:off x="11001375" y="7012214"/>
          <a:ext cx="15376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30</xdr:row>
      <xdr:rowOff>83780</xdr:rowOff>
    </xdr:from>
    <xdr:to>
      <xdr:col>21</xdr:col>
      <xdr:colOff>149926</xdr:colOff>
      <xdr:row>30</xdr:row>
      <xdr:rowOff>83780</xdr:rowOff>
    </xdr:to>
    <xdr:cxnSp macro="">
      <xdr:nvCxnSpPr>
        <xdr:cNvPr id="57" name="Straight Arrow Connector 56"/>
        <xdr:cNvCxnSpPr/>
      </xdr:nvCxnSpPr>
      <xdr:spPr>
        <a:xfrm>
          <a:off x="11007065" y="64845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45</xdr:row>
      <xdr:rowOff>142875</xdr:rowOff>
    </xdr:from>
    <xdr:to>
      <xdr:col>24</xdr:col>
      <xdr:colOff>152400</xdr:colOff>
      <xdr:row>45</xdr:row>
      <xdr:rowOff>142875</xdr:rowOff>
    </xdr:to>
    <xdr:cxnSp macro="">
      <xdr:nvCxnSpPr>
        <xdr:cNvPr id="58" name="Straight Arrow Connector 83"/>
        <xdr:cNvCxnSpPr>
          <a:cxnSpLocks noChangeShapeType="1"/>
        </xdr:cNvCxnSpPr>
      </xdr:nvCxnSpPr>
      <xdr:spPr bwMode="auto">
        <a:xfrm>
          <a:off x="10677525" y="9839325"/>
          <a:ext cx="232410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241300</xdr:colOff>
      <xdr:row>50</xdr:row>
      <xdr:rowOff>114300</xdr:rowOff>
    </xdr:from>
    <xdr:to>
      <xdr:col>4</xdr:col>
      <xdr:colOff>881380</xdr:colOff>
      <xdr:row>50</xdr:row>
      <xdr:rowOff>115888</xdr:rowOff>
    </xdr:to>
    <xdr:cxnSp macro="">
      <xdr:nvCxnSpPr>
        <xdr:cNvPr id="59" name="Straight Arrow Connector 58"/>
        <xdr:cNvCxnSpPr/>
      </xdr:nvCxnSpPr>
      <xdr:spPr>
        <a:xfrm>
          <a:off x="2193925" y="10677525"/>
          <a:ext cx="64008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241300</xdr:colOff>
      <xdr:row>51</xdr:row>
      <xdr:rowOff>114300</xdr:rowOff>
    </xdr:from>
    <xdr:to>
      <xdr:col>4</xdr:col>
      <xdr:colOff>881380</xdr:colOff>
      <xdr:row>51</xdr:row>
      <xdr:rowOff>115888</xdr:rowOff>
    </xdr:to>
    <xdr:cxnSp macro="">
      <xdr:nvCxnSpPr>
        <xdr:cNvPr id="60" name="Straight Arrow Connector 59"/>
        <xdr:cNvCxnSpPr/>
      </xdr:nvCxnSpPr>
      <xdr:spPr>
        <a:xfrm>
          <a:off x="2193925" y="10868025"/>
          <a:ext cx="640080" cy="158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204788</xdr:colOff>
      <xdr:row>13</xdr:row>
      <xdr:rowOff>66286</xdr:rowOff>
    </xdr:from>
    <xdr:to>
      <xdr:col>9</xdr:col>
      <xdr:colOff>204788</xdr:colOff>
      <xdr:row>17</xdr:row>
      <xdr:rowOff>88900</xdr:rowOff>
    </xdr:to>
    <xdr:cxnSp macro="">
      <xdr:nvCxnSpPr>
        <xdr:cNvPr id="61" name="Straight Connector 60"/>
        <xdr:cNvCxnSpPr/>
      </xdr:nvCxnSpPr>
      <xdr:spPr>
        <a:xfrm rot="16200000" flipH="1">
          <a:off x="4894068" y="3139881"/>
          <a:ext cx="965589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127000</xdr:colOff>
      <xdr:row>5</xdr:row>
      <xdr:rowOff>152400</xdr:rowOff>
    </xdr:from>
    <xdr:to>
      <xdr:col>16</xdr:col>
      <xdr:colOff>241300</xdr:colOff>
      <xdr:row>5</xdr:row>
      <xdr:rowOff>153988</xdr:rowOff>
    </xdr:to>
    <xdr:cxnSp macro="">
      <xdr:nvCxnSpPr>
        <xdr:cNvPr id="62" name="Straight Arrow Connector 61"/>
        <xdr:cNvCxnSpPr/>
      </xdr:nvCxnSpPr>
      <xdr:spPr bwMode="auto">
        <a:xfrm>
          <a:off x="7089775" y="1143000"/>
          <a:ext cx="2047875" cy="1588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140495</xdr:colOff>
      <xdr:row>5</xdr:row>
      <xdr:rowOff>153193</xdr:rowOff>
    </xdr:from>
    <xdr:to>
      <xdr:col>12</xdr:col>
      <xdr:colOff>140495</xdr:colOff>
      <xdr:row>13</xdr:row>
      <xdr:rowOff>47624</xdr:rowOff>
    </xdr:to>
    <xdr:cxnSp macro="">
      <xdr:nvCxnSpPr>
        <xdr:cNvPr id="63" name="Straight Connector 62"/>
        <xdr:cNvCxnSpPr/>
      </xdr:nvCxnSpPr>
      <xdr:spPr>
        <a:xfrm rot="5400000">
          <a:off x="6355954" y="1891109"/>
          <a:ext cx="1494631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40</xdr:row>
      <xdr:rowOff>95250</xdr:rowOff>
    </xdr:from>
    <xdr:to>
      <xdr:col>21</xdr:col>
      <xdr:colOff>96795</xdr:colOff>
      <xdr:row>42</xdr:row>
      <xdr:rowOff>199819</xdr:rowOff>
    </xdr:to>
    <xdr:cxnSp macro="">
      <xdr:nvCxnSpPr>
        <xdr:cNvPr id="64" name="Elbow Connector 63"/>
        <xdr:cNvCxnSpPr/>
      </xdr:nvCxnSpPr>
      <xdr:spPr bwMode="auto">
        <a:xfrm>
          <a:off x="10639425" y="8810625"/>
          <a:ext cx="458745" cy="5522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36</xdr:row>
      <xdr:rowOff>142875</xdr:rowOff>
    </xdr:from>
    <xdr:to>
      <xdr:col>21</xdr:col>
      <xdr:colOff>152400</xdr:colOff>
      <xdr:row>38</xdr:row>
      <xdr:rowOff>95250</xdr:rowOff>
    </xdr:to>
    <xdr:grpSp>
      <xdr:nvGrpSpPr>
        <xdr:cNvPr id="65" name="Group 93"/>
        <xdr:cNvGrpSpPr>
          <a:grpSpLocks/>
        </xdr:cNvGrpSpPr>
      </xdr:nvGrpSpPr>
      <xdr:grpSpPr bwMode="auto">
        <a:xfrm>
          <a:off x="10648950" y="7953375"/>
          <a:ext cx="504825" cy="447675"/>
          <a:chOff x="10420407" y="1311766"/>
          <a:chExt cx="375845" cy="168307"/>
        </a:xfrm>
      </xdr:grpSpPr>
      <xdr:cxnSp macro="">
        <xdr:nvCxnSpPr>
          <xdr:cNvPr id="66" name="Straight Arrow Connector 94"/>
          <xdr:cNvCxnSpPr/>
        </xdr:nvCxnSpPr>
        <xdr:spPr>
          <a:xfrm>
            <a:off x="10427498" y="1480073"/>
            <a:ext cx="368754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Elbow Connector 95"/>
          <xdr:cNvCxnSpPr/>
        </xdr:nvCxnSpPr>
        <xdr:spPr>
          <a:xfrm flipV="1">
            <a:off x="10420407" y="1311766"/>
            <a:ext cx="319114" cy="164726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12700</xdr:colOff>
      <xdr:row>38</xdr:row>
      <xdr:rowOff>118898</xdr:rowOff>
    </xdr:from>
    <xdr:to>
      <xdr:col>17</xdr:col>
      <xdr:colOff>0</xdr:colOff>
      <xdr:row>38</xdr:row>
      <xdr:rowOff>118898</xdr:rowOff>
    </xdr:to>
    <xdr:cxnSp macro="">
      <xdr:nvCxnSpPr>
        <xdr:cNvPr id="68" name="Straight Arrow Connector 67"/>
        <xdr:cNvCxnSpPr/>
      </xdr:nvCxnSpPr>
      <xdr:spPr>
        <a:xfrm flipV="1">
          <a:off x="8718550" y="8424698"/>
          <a:ext cx="4635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17</xdr:row>
      <xdr:rowOff>142875</xdr:rowOff>
    </xdr:from>
    <xdr:to>
      <xdr:col>17</xdr:col>
      <xdr:colOff>0</xdr:colOff>
      <xdr:row>19</xdr:row>
      <xdr:rowOff>114300</xdr:rowOff>
    </xdr:to>
    <xdr:grpSp>
      <xdr:nvGrpSpPr>
        <xdr:cNvPr id="69" name="Group 98"/>
        <xdr:cNvGrpSpPr>
          <a:grpSpLocks/>
        </xdr:cNvGrpSpPr>
      </xdr:nvGrpSpPr>
      <xdr:grpSpPr bwMode="auto">
        <a:xfrm>
          <a:off x="8734425" y="3676650"/>
          <a:ext cx="447675" cy="466725"/>
          <a:chOff x="10441472" y="1246340"/>
          <a:chExt cx="369704" cy="194658"/>
        </a:xfrm>
      </xdr:grpSpPr>
      <xdr:cxnSp macro="">
        <xdr:nvCxnSpPr>
          <xdr:cNvPr id="70" name="Straight Arrow Connector 69"/>
          <xdr:cNvCxnSpPr/>
        </xdr:nvCxnSpPr>
        <xdr:spPr>
          <a:xfrm>
            <a:off x="10441472" y="1246340"/>
            <a:ext cx="369704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Elbow Connector 70"/>
          <xdr:cNvCxnSpPr/>
        </xdr:nvCxnSpPr>
        <xdr:spPr>
          <a:xfrm>
            <a:off x="10441472" y="1246340"/>
            <a:ext cx="353972" cy="194658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9525</xdr:colOff>
      <xdr:row>17</xdr:row>
      <xdr:rowOff>95250</xdr:rowOff>
    </xdr:from>
    <xdr:to>
      <xdr:col>21</xdr:col>
      <xdr:colOff>135597</xdr:colOff>
      <xdr:row>19</xdr:row>
      <xdr:rowOff>104775</xdr:rowOff>
    </xdr:to>
    <xdr:cxnSp macro="">
      <xdr:nvCxnSpPr>
        <xdr:cNvPr id="72" name="Elbow Connector 71"/>
        <xdr:cNvCxnSpPr/>
      </xdr:nvCxnSpPr>
      <xdr:spPr bwMode="auto">
        <a:xfrm>
          <a:off x="10648950" y="3629025"/>
          <a:ext cx="488022" cy="5048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30</xdr:row>
      <xdr:rowOff>152400</xdr:rowOff>
    </xdr:from>
    <xdr:to>
      <xdr:col>21</xdr:col>
      <xdr:colOff>28575</xdr:colOff>
      <xdr:row>35</xdr:row>
      <xdr:rowOff>114300</xdr:rowOff>
    </xdr:to>
    <xdr:grpSp>
      <xdr:nvGrpSpPr>
        <xdr:cNvPr id="73" name="Group 114"/>
        <xdr:cNvGrpSpPr>
          <a:grpSpLocks/>
        </xdr:cNvGrpSpPr>
      </xdr:nvGrpSpPr>
      <xdr:grpSpPr bwMode="auto">
        <a:xfrm>
          <a:off x="10639425" y="6553200"/>
          <a:ext cx="390525" cy="1200150"/>
          <a:chOff x="10405601" y="6956061"/>
          <a:chExt cx="467297" cy="203593"/>
        </a:xfrm>
      </xdr:grpSpPr>
      <xdr:cxnSp macro="">
        <xdr:nvCxnSpPr>
          <xdr:cNvPr id="74" name="Straight Arrow Connector 73"/>
          <xdr:cNvCxnSpPr/>
        </xdr:nvCxnSpPr>
        <xdr:spPr>
          <a:xfrm>
            <a:off x="10405601" y="6956061"/>
            <a:ext cx="421707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Elbow Connector 74"/>
          <xdr:cNvCxnSpPr/>
        </xdr:nvCxnSpPr>
        <xdr:spPr>
          <a:xfrm>
            <a:off x="10473986" y="6956061"/>
            <a:ext cx="398912" cy="203593"/>
          </a:xfrm>
          <a:prstGeom prst="bentConnector3">
            <a:avLst>
              <a:gd name="adj1" fmla="val 50000"/>
            </a:avLst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31</xdr:row>
      <xdr:rowOff>95250</xdr:rowOff>
    </xdr:from>
    <xdr:to>
      <xdr:col>16</xdr:col>
      <xdr:colOff>276225</xdr:colOff>
      <xdr:row>31</xdr:row>
      <xdr:rowOff>95250</xdr:rowOff>
    </xdr:to>
    <xdr:cxnSp macro="">
      <xdr:nvCxnSpPr>
        <xdr:cNvPr id="76" name="Straight Arrow Connector 118"/>
        <xdr:cNvCxnSpPr>
          <a:cxnSpLocks noChangeShapeType="1"/>
        </xdr:cNvCxnSpPr>
      </xdr:nvCxnSpPr>
      <xdr:spPr bwMode="auto">
        <a:xfrm>
          <a:off x="8705850" y="6743700"/>
          <a:ext cx="466725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28575</xdr:colOff>
      <xdr:row>31</xdr:row>
      <xdr:rowOff>95250</xdr:rowOff>
    </xdr:from>
    <xdr:to>
      <xdr:col>16</xdr:col>
      <xdr:colOff>247650</xdr:colOff>
      <xdr:row>33</xdr:row>
      <xdr:rowOff>142875</xdr:rowOff>
    </xdr:to>
    <xdr:cxnSp macro="">
      <xdr:nvCxnSpPr>
        <xdr:cNvPr id="77" name="Elbow Connector 119"/>
        <xdr:cNvCxnSpPr>
          <a:cxnSpLocks noChangeShapeType="1"/>
        </xdr:cNvCxnSpPr>
      </xdr:nvCxnSpPr>
      <xdr:spPr bwMode="auto">
        <a:xfrm>
          <a:off x="8734425" y="6743700"/>
          <a:ext cx="409575" cy="542925"/>
        </a:xfrm>
        <a:prstGeom prst="bentConnector3">
          <a:avLst>
            <a:gd name="adj1" fmla="val 25944"/>
          </a:avLst>
        </a:prstGeom>
        <a:noFill/>
        <a:ln w="9525" algn="ctr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24</xdr:row>
      <xdr:rowOff>142875</xdr:rowOff>
    </xdr:from>
    <xdr:to>
      <xdr:col>9</xdr:col>
      <xdr:colOff>342900</xdr:colOff>
      <xdr:row>24</xdr:row>
      <xdr:rowOff>142875</xdr:rowOff>
    </xdr:to>
    <xdr:cxnSp macro="">
      <xdr:nvCxnSpPr>
        <xdr:cNvPr id="78" name="Straight Arrow Connector 133"/>
        <xdr:cNvCxnSpPr>
          <a:cxnSpLocks noChangeShapeType="1"/>
        </xdr:cNvCxnSpPr>
      </xdr:nvCxnSpPr>
      <xdr:spPr bwMode="auto">
        <a:xfrm>
          <a:off x="5191125" y="5267325"/>
          <a:ext cx="323850" cy="0"/>
        </a:xfrm>
        <a:prstGeom prst="straightConnector1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176890</xdr:colOff>
      <xdr:row>23</xdr:row>
      <xdr:rowOff>124849</xdr:rowOff>
    </xdr:from>
    <xdr:to>
      <xdr:col>15</xdr:col>
      <xdr:colOff>176890</xdr:colOff>
      <xdr:row>25</xdr:row>
      <xdr:rowOff>105430</xdr:rowOff>
    </xdr:to>
    <xdr:cxnSp macro="">
      <xdr:nvCxnSpPr>
        <xdr:cNvPr id="79" name="Straight Connector 78"/>
        <xdr:cNvCxnSpPr/>
      </xdr:nvCxnSpPr>
      <xdr:spPr>
        <a:xfrm rot="16200000" flipH="1">
          <a:off x="8630512" y="5253877"/>
          <a:ext cx="504456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180975</xdr:colOff>
      <xdr:row>23</xdr:row>
      <xdr:rowOff>105277</xdr:rowOff>
    </xdr:from>
    <xdr:to>
      <xdr:col>17</xdr:col>
      <xdr:colOff>1356</xdr:colOff>
      <xdr:row>23</xdr:row>
      <xdr:rowOff>105277</xdr:rowOff>
    </xdr:to>
    <xdr:cxnSp macro="">
      <xdr:nvCxnSpPr>
        <xdr:cNvPr id="80" name="Straight Arrow Connector 79"/>
        <xdr:cNvCxnSpPr/>
      </xdr:nvCxnSpPr>
      <xdr:spPr>
        <a:xfrm flipV="1">
          <a:off x="8886825" y="4982077"/>
          <a:ext cx="296631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176893</xdr:colOff>
      <xdr:row>25</xdr:row>
      <xdr:rowOff>108857</xdr:rowOff>
    </xdr:from>
    <xdr:to>
      <xdr:col>16</xdr:col>
      <xdr:colOff>284048</xdr:colOff>
      <xdr:row>25</xdr:row>
      <xdr:rowOff>110290</xdr:rowOff>
    </xdr:to>
    <xdr:cxnSp macro="">
      <xdr:nvCxnSpPr>
        <xdr:cNvPr id="81" name="Straight Arrow Connector 80"/>
        <xdr:cNvCxnSpPr/>
      </xdr:nvCxnSpPr>
      <xdr:spPr>
        <a:xfrm>
          <a:off x="8882743" y="5509532"/>
          <a:ext cx="297655" cy="143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8072</xdr:colOff>
      <xdr:row>25</xdr:row>
      <xdr:rowOff>104493</xdr:rowOff>
    </xdr:from>
    <xdr:to>
      <xdr:col>21</xdr:col>
      <xdr:colOff>122372</xdr:colOff>
      <xdr:row>25</xdr:row>
      <xdr:rowOff>104493</xdr:rowOff>
    </xdr:to>
    <xdr:cxnSp macro="">
      <xdr:nvCxnSpPr>
        <xdr:cNvPr id="82" name="Straight Arrow Connector 81"/>
        <xdr:cNvCxnSpPr/>
      </xdr:nvCxnSpPr>
      <xdr:spPr bwMode="auto">
        <a:xfrm>
          <a:off x="10647497" y="5505168"/>
          <a:ext cx="4762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16144</xdr:colOff>
      <xdr:row>25</xdr:row>
      <xdr:rowOff>109712</xdr:rowOff>
    </xdr:from>
    <xdr:to>
      <xdr:col>21</xdr:col>
      <xdr:colOff>111343</xdr:colOff>
      <xdr:row>28</xdr:row>
      <xdr:rowOff>200894</xdr:rowOff>
    </xdr:to>
    <xdr:cxnSp macro="">
      <xdr:nvCxnSpPr>
        <xdr:cNvPr id="83" name="Elbow Connector 82"/>
        <xdr:cNvCxnSpPr/>
      </xdr:nvCxnSpPr>
      <xdr:spPr bwMode="auto">
        <a:xfrm>
          <a:off x="10655569" y="5510387"/>
          <a:ext cx="457149" cy="6436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11369</xdr:colOff>
      <xdr:row>24</xdr:row>
      <xdr:rowOff>114259</xdr:rowOff>
    </xdr:from>
    <xdr:to>
      <xdr:col>16</xdr:col>
      <xdr:colOff>3749</xdr:colOff>
      <xdr:row>24</xdr:row>
      <xdr:rowOff>115847</xdr:rowOff>
    </xdr:to>
    <xdr:cxnSp macro="">
      <xdr:nvCxnSpPr>
        <xdr:cNvPr id="84" name="Straight Connector 72"/>
        <xdr:cNvCxnSpPr/>
      </xdr:nvCxnSpPr>
      <xdr:spPr>
        <a:xfrm>
          <a:off x="8717219" y="5238709"/>
          <a:ext cx="182880" cy="1588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38229</xdr:colOff>
      <xdr:row>23</xdr:row>
      <xdr:rowOff>106216</xdr:rowOff>
    </xdr:from>
    <xdr:to>
      <xdr:col>22</xdr:col>
      <xdr:colOff>4939</xdr:colOff>
      <xdr:row>23</xdr:row>
      <xdr:rowOff>106216</xdr:rowOff>
    </xdr:to>
    <xdr:cxnSp macro="">
      <xdr:nvCxnSpPr>
        <xdr:cNvPr id="85" name="Straight Arrow Connector 84"/>
        <xdr:cNvCxnSpPr/>
      </xdr:nvCxnSpPr>
      <xdr:spPr bwMode="auto">
        <a:xfrm>
          <a:off x="10677654" y="4983016"/>
          <a:ext cx="48106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21</xdr:row>
      <xdr:rowOff>154782</xdr:rowOff>
    </xdr:from>
    <xdr:to>
      <xdr:col>21</xdr:col>
      <xdr:colOff>107157</xdr:colOff>
      <xdr:row>23</xdr:row>
      <xdr:rowOff>101203</xdr:rowOff>
    </xdr:to>
    <xdr:cxnSp macro="">
      <xdr:nvCxnSpPr>
        <xdr:cNvPr id="86" name="Elbow Connector 85"/>
        <xdr:cNvCxnSpPr/>
      </xdr:nvCxnSpPr>
      <xdr:spPr bwMode="auto">
        <a:xfrm flipV="1">
          <a:off x="10658475" y="4536282"/>
          <a:ext cx="450057" cy="44172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305876</xdr:colOff>
      <xdr:row>33</xdr:row>
      <xdr:rowOff>104775</xdr:rowOff>
    </xdr:from>
    <xdr:to>
      <xdr:col>20</xdr:col>
      <xdr:colOff>17866</xdr:colOff>
      <xdr:row>33</xdr:row>
      <xdr:rowOff>106363</xdr:rowOff>
    </xdr:to>
    <xdr:cxnSp macro="">
      <xdr:nvCxnSpPr>
        <xdr:cNvPr id="87" name="Straight Arrow Connector 86"/>
        <xdr:cNvCxnSpPr/>
      </xdr:nvCxnSpPr>
      <xdr:spPr>
        <a:xfrm>
          <a:off x="10630976" y="7248525"/>
          <a:ext cx="22634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63500</xdr:rowOff>
    </xdr:from>
    <xdr:to>
      <xdr:col>20</xdr:col>
      <xdr:colOff>50800</xdr:colOff>
      <xdr:row>19</xdr:row>
      <xdr:rowOff>101600</xdr:rowOff>
    </xdr:to>
    <xdr:cxnSp macro="">
      <xdr:nvCxnSpPr>
        <xdr:cNvPr id="88" name="Elbow Connector 87"/>
        <xdr:cNvCxnSpPr/>
      </xdr:nvCxnSpPr>
      <xdr:spPr>
        <a:xfrm flipV="1">
          <a:off x="10639425" y="3844925"/>
          <a:ext cx="250825" cy="285750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29292</xdr:colOff>
      <xdr:row>24</xdr:row>
      <xdr:rowOff>137946</xdr:rowOff>
    </xdr:from>
    <xdr:to>
      <xdr:col>12</xdr:col>
      <xdr:colOff>303612</xdr:colOff>
      <xdr:row>24</xdr:row>
      <xdr:rowOff>139534</xdr:rowOff>
    </xdr:to>
    <xdr:cxnSp macro="">
      <xdr:nvCxnSpPr>
        <xdr:cNvPr id="89" name="Straight Arrow Connector 88"/>
        <xdr:cNvCxnSpPr/>
      </xdr:nvCxnSpPr>
      <xdr:spPr>
        <a:xfrm>
          <a:off x="6992067" y="5262396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104775</xdr:colOff>
      <xdr:row>0</xdr:row>
      <xdr:rowOff>0</xdr:rowOff>
    </xdr:from>
    <xdr:to>
      <xdr:col>2</xdr:col>
      <xdr:colOff>0</xdr:colOff>
      <xdr:row>2</xdr:row>
      <xdr:rowOff>47625</xdr:rowOff>
    </xdr:to>
    <xdr:pic>
      <xdr:nvPicPr>
        <xdr:cNvPr id="90" name="Picture 126" descr="LOGO PERBANAS INSTITUT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5048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2</xdr:row>
      <xdr:rowOff>57150</xdr:rowOff>
    </xdr:from>
    <xdr:to>
      <xdr:col>27</xdr:col>
      <xdr:colOff>9525</xdr:colOff>
      <xdr:row>2</xdr:row>
      <xdr:rowOff>58738</xdr:rowOff>
    </xdr:to>
    <xdr:cxnSp macro="">
      <xdr:nvCxnSpPr>
        <xdr:cNvPr id="91" name="Straight Connector 90"/>
        <xdr:cNvCxnSpPr/>
      </xdr:nvCxnSpPr>
      <xdr:spPr>
        <a:xfrm>
          <a:off x="266700" y="476250"/>
          <a:ext cx="15316200" cy="1588"/>
        </a:xfrm>
        <a:prstGeom prst="line">
          <a:avLst/>
        </a:prstGeom>
        <a:ln w="44450" cmpd="thickThin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20411</xdr:colOff>
      <xdr:row>40</xdr:row>
      <xdr:rowOff>156482</xdr:rowOff>
    </xdr:from>
    <xdr:to>
      <xdr:col>6</xdr:col>
      <xdr:colOff>340178</xdr:colOff>
      <xdr:row>40</xdr:row>
      <xdr:rowOff>156482</xdr:rowOff>
    </xdr:to>
    <xdr:cxnSp macro="">
      <xdr:nvCxnSpPr>
        <xdr:cNvPr id="92" name="Straight Arrow Connector 91"/>
        <xdr:cNvCxnSpPr/>
      </xdr:nvCxnSpPr>
      <xdr:spPr>
        <a:xfrm>
          <a:off x="1668236" y="8871857"/>
          <a:ext cx="2062842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17972</xdr:colOff>
      <xdr:row>14</xdr:row>
      <xdr:rowOff>134788</xdr:rowOff>
    </xdr:from>
    <xdr:to>
      <xdr:col>20</xdr:col>
      <xdr:colOff>26958</xdr:colOff>
      <xdr:row>15</xdr:row>
      <xdr:rowOff>161745</xdr:rowOff>
    </xdr:to>
    <xdr:cxnSp macro="">
      <xdr:nvCxnSpPr>
        <xdr:cNvPr id="93" name="Straight Connector 92"/>
        <xdr:cNvCxnSpPr/>
      </xdr:nvCxnSpPr>
      <xdr:spPr>
        <a:xfrm rot="5400000">
          <a:off x="10748424" y="3082236"/>
          <a:ext cx="226982" cy="8986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26958</xdr:colOff>
      <xdr:row>15</xdr:row>
      <xdr:rowOff>129877</xdr:rowOff>
    </xdr:from>
    <xdr:to>
      <xdr:col>22</xdr:col>
      <xdr:colOff>5191</xdr:colOff>
      <xdr:row>15</xdr:row>
      <xdr:rowOff>134787</xdr:rowOff>
    </xdr:to>
    <xdr:cxnSp macro="">
      <xdr:nvCxnSpPr>
        <xdr:cNvPr id="94" name="Straight Arrow Connector 93"/>
        <xdr:cNvCxnSpPr/>
      </xdr:nvCxnSpPr>
      <xdr:spPr>
        <a:xfrm flipV="1">
          <a:off x="10866408" y="3168352"/>
          <a:ext cx="292558" cy="491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134788</xdr:colOff>
      <xdr:row>15</xdr:row>
      <xdr:rowOff>116816</xdr:rowOff>
    </xdr:from>
    <xdr:to>
      <xdr:col>16</xdr:col>
      <xdr:colOff>265421</xdr:colOff>
      <xdr:row>15</xdr:row>
      <xdr:rowOff>120531</xdr:rowOff>
    </xdr:to>
    <xdr:cxnSp macro="">
      <xdr:nvCxnSpPr>
        <xdr:cNvPr id="95" name="Straight Arrow Connector 94"/>
        <xdr:cNvCxnSpPr/>
      </xdr:nvCxnSpPr>
      <xdr:spPr>
        <a:xfrm>
          <a:off x="8840638" y="3155291"/>
          <a:ext cx="321133" cy="371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14</xdr:row>
      <xdr:rowOff>133350</xdr:rowOff>
    </xdr:from>
    <xdr:to>
      <xdr:col>20</xdr:col>
      <xdr:colOff>19050</xdr:colOff>
      <xdr:row>14</xdr:row>
      <xdr:rowOff>133350</xdr:rowOff>
    </xdr:to>
    <xdr:cxnSp macro="">
      <xdr:nvCxnSpPr>
        <xdr:cNvPr id="96" name="Straight Connector 72"/>
        <xdr:cNvCxnSpPr/>
      </xdr:nvCxnSpPr>
      <xdr:spPr>
        <a:xfrm>
          <a:off x="8839200" y="2971800"/>
          <a:ext cx="201930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2" name="Straight Connector 1"/>
        <xdr:cNvCxnSpPr/>
      </xdr:nvCxnSpPr>
      <xdr:spPr bwMode="auto">
        <a:xfrm rot="5400000">
          <a:off x="11021619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</xdr:colOff>
      <xdr:row>38</xdr:row>
      <xdr:rowOff>123496</xdr:rowOff>
    </xdr:from>
    <xdr:to>
      <xdr:col>12</xdr:col>
      <xdr:colOff>306215</xdr:colOff>
      <xdr:row>38</xdr:row>
      <xdr:rowOff>123496</xdr:rowOff>
    </xdr:to>
    <xdr:cxnSp macro="">
      <xdr:nvCxnSpPr>
        <xdr:cNvPr id="3" name="Straight Arrow Connector 2"/>
        <xdr:cNvCxnSpPr/>
      </xdr:nvCxnSpPr>
      <xdr:spPr bwMode="auto">
        <a:xfrm>
          <a:off x="6976382" y="8429296"/>
          <a:ext cx="292608" cy="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2548</xdr:colOff>
      <xdr:row>7</xdr:row>
      <xdr:rowOff>114921</xdr:rowOff>
    </xdr:from>
    <xdr:to>
      <xdr:col>12</xdr:col>
      <xdr:colOff>313444</xdr:colOff>
      <xdr:row>7</xdr:row>
      <xdr:rowOff>114921</xdr:rowOff>
    </xdr:to>
    <xdr:cxnSp macro="">
      <xdr:nvCxnSpPr>
        <xdr:cNvPr id="5" name="Straight Arrow Connector 4"/>
        <xdr:cNvCxnSpPr/>
      </xdr:nvCxnSpPr>
      <xdr:spPr>
        <a:xfrm>
          <a:off x="6965323" y="1534146"/>
          <a:ext cx="3108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8187</xdr:colOff>
      <xdr:row>13</xdr:row>
      <xdr:rowOff>119218</xdr:rowOff>
    </xdr:from>
    <xdr:to>
      <xdr:col>12</xdr:col>
      <xdr:colOff>282507</xdr:colOff>
      <xdr:row>13</xdr:row>
      <xdr:rowOff>119218</xdr:rowOff>
    </xdr:to>
    <xdr:cxnSp macro="">
      <xdr:nvCxnSpPr>
        <xdr:cNvPr id="6" name="Straight Arrow Connector 5"/>
        <xdr:cNvCxnSpPr/>
      </xdr:nvCxnSpPr>
      <xdr:spPr>
        <a:xfrm flipV="1">
          <a:off x="6970962" y="2710018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178143</xdr:colOff>
      <xdr:row>2</xdr:row>
      <xdr:rowOff>38615</xdr:rowOff>
    </xdr:from>
    <xdr:ext cx="184731" cy="264560"/>
    <xdr:sp macro="" textlink="">
      <xdr:nvSpPr>
        <xdr:cNvPr id="7" name="TextBox 6"/>
        <xdr:cNvSpPr txBox="1"/>
      </xdr:nvSpPr>
      <xdr:spPr>
        <a:xfrm>
          <a:off x="3569043" y="4577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twoCellAnchor>
    <xdr:from>
      <xdr:col>6</xdr:col>
      <xdr:colOff>29634</xdr:colOff>
      <xdr:row>7</xdr:row>
      <xdr:rowOff>106562</xdr:rowOff>
    </xdr:from>
    <xdr:to>
      <xdr:col>6</xdr:col>
      <xdr:colOff>325967</xdr:colOff>
      <xdr:row>7</xdr:row>
      <xdr:rowOff>106570</xdr:rowOff>
    </xdr:to>
    <xdr:cxnSp macro="">
      <xdr:nvCxnSpPr>
        <xdr:cNvPr id="9" name="Straight Arrow Connector 8"/>
        <xdr:cNvCxnSpPr/>
      </xdr:nvCxnSpPr>
      <xdr:spPr>
        <a:xfrm flipV="1">
          <a:off x="3420534" y="1525787"/>
          <a:ext cx="296333" cy="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33850</xdr:colOff>
      <xdr:row>7</xdr:row>
      <xdr:rowOff>106562</xdr:rowOff>
    </xdr:from>
    <xdr:to>
      <xdr:col>9</xdr:col>
      <xdr:colOff>353890</xdr:colOff>
      <xdr:row>7</xdr:row>
      <xdr:rowOff>106589</xdr:rowOff>
    </xdr:to>
    <xdr:cxnSp macro="">
      <xdr:nvCxnSpPr>
        <xdr:cNvPr id="10" name="Straight Arrow Connector 9"/>
        <xdr:cNvCxnSpPr/>
      </xdr:nvCxnSpPr>
      <xdr:spPr>
        <a:xfrm flipV="1">
          <a:off x="5205925" y="1525787"/>
          <a:ext cx="32004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25572</xdr:colOff>
      <xdr:row>5</xdr:row>
      <xdr:rowOff>121252</xdr:rowOff>
    </xdr:from>
    <xdr:to>
      <xdr:col>21</xdr:col>
      <xdr:colOff>122367</xdr:colOff>
      <xdr:row>5</xdr:row>
      <xdr:rowOff>121252</xdr:rowOff>
    </xdr:to>
    <xdr:cxnSp macro="">
      <xdr:nvCxnSpPr>
        <xdr:cNvPr id="11" name="Straight Arrow Connector 10"/>
        <xdr:cNvCxnSpPr/>
      </xdr:nvCxnSpPr>
      <xdr:spPr>
        <a:xfrm>
          <a:off x="10693572" y="1111852"/>
          <a:ext cx="458745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7</xdr:row>
      <xdr:rowOff>95250</xdr:rowOff>
    </xdr:from>
    <xdr:to>
      <xdr:col>22</xdr:col>
      <xdr:colOff>0</xdr:colOff>
      <xdr:row>9</xdr:row>
      <xdr:rowOff>85725</xdr:rowOff>
    </xdr:to>
    <xdr:grpSp>
      <xdr:nvGrpSpPr>
        <xdr:cNvPr id="12" name="Group 13"/>
        <xdr:cNvGrpSpPr>
          <a:grpSpLocks/>
        </xdr:cNvGrpSpPr>
      </xdr:nvGrpSpPr>
      <xdr:grpSpPr bwMode="auto">
        <a:xfrm>
          <a:off x="10836275" y="1312333"/>
          <a:ext cx="498475" cy="307975"/>
          <a:chOff x="10441472" y="1246334"/>
          <a:chExt cx="369713" cy="184305"/>
        </a:xfrm>
      </xdr:grpSpPr>
      <xdr:cxnSp macro="">
        <xdr:nvCxnSpPr>
          <xdr:cNvPr id="13" name="Straight Arrow Connector 12"/>
          <xdr:cNvCxnSpPr/>
        </xdr:nvCxnSpPr>
        <xdr:spPr>
          <a:xfrm>
            <a:off x="10441472" y="1246334"/>
            <a:ext cx="369713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Elbow Connector 13"/>
          <xdr:cNvCxnSpPr/>
        </xdr:nvCxnSpPr>
        <xdr:spPr>
          <a:xfrm>
            <a:off x="10441472" y="1246334"/>
            <a:ext cx="369713" cy="184305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30327</xdr:colOff>
      <xdr:row>13</xdr:row>
      <xdr:rowOff>118898</xdr:rowOff>
    </xdr:from>
    <xdr:to>
      <xdr:col>3</xdr:col>
      <xdr:colOff>286359</xdr:colOff>
      <xdr:row>13</xdr:row>
      <xdr:rowOff>118926</xdr:rowOff>
    </xdr:to>
    <xdr:cxnSp macro="">
      <xdr:nvCxnSpPr>
        <xdr:cNvPr id="15" name="Straight Arrow Connector 14"/>
        <xdr:cNvCxnSpPr/>
      </xdr:nvCxnSpPr>
      <xdr:spPr>
        <a:xfrm flipV="1">
          <a:off x="1678152" y="2709698"/>
          <a:ext cx="256032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17627</xdr:colOff>
      <xdr:row>13</xdr:row>
      <xdr:rowOff>80798</xdr:rowOff>
    </xdr:from>
    <xdr:to>
      <xdr:col>6</xdr:col>
      <xdr:colOff>349997</xdr:colOff>
      <xdr:row>13</xdr:row>
      <xdr:rowOff>80825</xdr:rowOff>
    </xdr:to>
    <xdr:cxnSp macro="">
      <xdr:nvCxnSpPr>
        <xdr:cNvPr id="16" name="Straight Arrow Connector 15"/>
        <xdr:cNvCxnSpPr/>
      </xdr:nvCxnSpPr>
      <xdr:spPr>
        <a:xfrm flipV="1">
          <a:off x="3408527" y="2671598"/>
          <a:ext cx="33237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200742</xdr:colOff>
      <xdr:row>17</xdr:row>
      <xdr:rowOff>86442</xdr:rowOff>
    </xdr:from>
    <xdr:to>
      <xdr:col>10</xdr:col>
      <xdr:colOff>6866</xdr:colOff>
      <xdr:row>17</xdr:row>
      <xdr:rowOff>86442</xdr:rowOff>
    </xdr:to>
    <xdr:cxnSp macro="">
      <xdr:nvCxnSpPr>
        <xdr:cNvPr id="17" name="Straight Arrow Connector 16"/>
        <xdr:cNvCxnSpPr/>
      </xdr:nvCxnSpPr>
      <xdr:spPr>
        <a:xfrm>
          <a:off x="5372817" y="3620217"/>
          <a:ext cx="168074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22953</xdr:colOff>
      <xdr:row>31</xdr:row>
      <xdr:rowOff>125173</xdr:rowOff>
    </xdr:from>
    <xdr:to>
      <xdr:col>12</xdr:col>
      <xdr:colOff>297273</xdr:colOff>
      <xdr:row>31</xdr:row>
      <xdr:rowOff>126761</xdr:rowOff>
    </xdr:to>
    <xdr:cxnSp macro="">
      <xdr:nvCxnSpPr>
        <xdr:cNvPr id="18" name="Straight Arrow Connector 17"/>
        <xdr:cNvCxnSpPr/>
      </xdr:nvCxnSpPr>
      <xdr:spPr>
        <a:xfrm>
          <a:off x="6985728" y="6773623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13</xdr:row>
      <xdr:rowOff>104775</xdr:rowOff>
    </xdr:from>
    <xdr:to>
      <xdr:col>22</xdr:col>
      <xdr:colOff>0</xdr:colOff>
      <xdr:row>13</xdr:row>
      <xdr:rowOff>104775</xdr:rowOff>
    </xdr:to>
    <xdr:cxnSp macro="">
      <xdr:nvCxnSpPr>
        <xdr:cNvPr id="19" name="Straight Arrow Connector 18"/>
        <xdr:cNvCxnSpPr/>
      </xdr:nvCxnSpPr>
      <xdr:spPr bwMode="auto">
        <a:xfrm>
          <a:off x="10677525" y="2695575"/>
          <a:ext cx="504825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45904</xdr:colOff>
      <xdr:row>17</xdr:row>
      <xdr:rowOff>93440</xdr:rowOff>
    </xdr:from>
    <xdr:to>
      <xdr:col>22</xdr:col>
      <xdr:colOff>3279</xdr:colOff>
      <xdr:row>17</xdr:row>
      <xdr:rowOff>93815</xdr:rowOff>
    </xdr:to>
    <xdr:cxnSp macro="">
      <xdr:nvCxnSpPr>
        <xdr:cNvPr id="20" name="Straight Arrow Connector 19"/>
        <xdr:cNvCxnSpPr/>
      </xdr:nvCxnSpPr>
      <xdr:spPr>
        <a:xfrm>
          <a:off x="10913929" y="3627215"/>
          <a:ext cx="271700" cy="375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15507</xdr:colOff>
      <xdr:row>45</xdr:row>
      <xdr:rowOff>90602</xdr:rowOff>
    </xdr:from>
    <xdr:to>
      <xdr:col>3</xdr:col>
      <xdr:colOff>271539</xdr:colOff>
      <xdr:row>45</xdr:row>
      <xdr:rowOff>90602</xdr:rowOff>
    </xdr:to>
    <xdr:cxnSp macro="">
      <xdr:nvCxnSpPr>
        <xdr:cNvPr id="21" name="Straight Arrow Connector 20"/>
        <xdr:cNvCxnSpPr/>
      </xdr:nvCxnSpPr>
      <xdr:spPr>
        <a:xfrm>
          <a:off x="1658570" y="7805852"/>
          <a:ext cx="2560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31495</xdr:colOff>
      <xdr:row>42</xdr:row>
      <xdr:rowOff>186311</xdr:rowOff>
    </xdr:from>
    <xdr:to>
      <xdr:col>6</xdr:col>
      <xdr:colOff>346856</xdr:colOff>
      <xdr:row>42</xdr:row>
      <xdr:rowOff>186339</xdr:rowOff>
    </xdr:to>
    <xdr:cxnSp macro="">
      <xdr:nvCxnSpPr>
        <xdr:cNvPr id="22" name="Straight Arrow Connector 21"/>
        <xdr:cNvCxnSpPr/>
      </xdr:nvCxnSpPr>
      <xdr:spPr>
        <a:xfrm flipV="1">
          <a:off x="3422395" y="9349361"/>
          <a:ext cx="315361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25400</xdr:colOff>
      <xdr:row>45</xdr:row>
      <xdr:rowOff>84483</xdr:rowOff>
    </xdr:from>
    <xdr:to>
      <xdr:col>16</xdr:col>
      <xdr:colOff>230986</xdr:colOff>
      <xdr:row>45</xdr:row>
      <xdr:rowOff>84483</xdr:rowOff>
    </xdr:to>
    <xdr:cxnSp macro="">
      <xdr:nvCxnSpPr>
        <xdr:cNvPr id="23" name="Straight Arrow Connector 22"/>
        <xdr:cNvCxnSpPr/>
      </xdr:nvCxnSpPr>
      <xdr:spPr>
        <a:xfrm flipV="1">
          <a:off x="5216525" y="7799733"/>
          <a:ext cx="3872711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40</xdr:row>
      <xdr:rowOff>155772</xdr:rowOff>
    </xdr:from>
    <xdr:to>
      <xdr:col>16</xdr:col>
      <xdr:colOff>253840</xdr:colOff>
      <xdr:row>40</xdr:row>
      <xdr:rowOff>159782</xdr:rowOff>
    </xdr:to>
    <xdr:cxnSp macro="">
      <xdr:nvCxnSpPr>
        <xdr:cNvPr id="24" name="Straight Arrow Connector 23"/>
        <xdr:cNvCxnSpPr/>
      </xdr:nvCxnSpPr>
      <xdr:spPr>
        <a:xfrm flipV="1">
          <a:off x="8715375" y="8871147"/>
          <a:ext cx="434815" cy="401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5954</xdr:colOff>
      <xdr:row>40</xdr:row>
      <xdr:rowOff>97633</xdr:rowOff>
    </xdr:from>
    <xdr:to>
      <xdr:col>21</xdr:col>
      <xdr:colOff>120254</xdr:colOff>
      <xdr:row>40</xdr:row>
      <xdr:rowOff>97633</xdr:rowOff>
    </xdr:to>
    <xdr:cxnSp macro="">
      <xdr:nvCxnSpPr>
        <xdr:cNvPr id="25" name="Straight Arrow Connector 24"/>
        <xdr:cNvCxnSpPr/>
      </xdr:nvCxnSpPr>
      <xdr:spPr bwMode="auto">
        <a:xfrm>
          <a:off x="10673954" y="8813008"/>
          <a:ext cx="4762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38</xdr:row>
      <xdr:rowOff>109373</xdr:rowOff>
    </xdr:from>
    <xdr:to>
      <xdr:col>9</xdr:col>
      <xdr:colOff>329565</xdr:colOff>
      <xdr:row>38</xdr:row>
      <xdr:rowOff>109400</xdr:rowOff>
    </xdr:to>
    <xdr:cxnSp macro="">
      <xdr:nvCxnSpPr>
        <xdr:cNvPr id="26" name="Straight Arrow Connector 25"/>
        <xdr:cNvCxnSpPr/>
      </xdr:nvCxnSpPr>
      <xdr:spPr>
        <a:xfrm flipV="1">
          <a:off x="5181600" y="8415173"/>
          <a:ext cx="320040" cy="2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149227</xdr:colOff>
      <xdr:row>13</xdr:row>
      <xdr:rowOff>114304</xdr:rowOff>
    </xdr:from>
    <xdr:to>
      <xdr:col>9</xdr:col>
      <xdr:colOff>149227</xdr:colOff>
      <xdr:row>31</xdr:row>
      <xdr:rowOff>146256</xdr:rowOff>
    </xdr:to>
    <xdr:cxnSp macro="">
      <xdr:nvCxnSpPr>
        <xdr:cNvPr id="27" name="Straight Connector 26"/>
        <xdr:cNvCxnSpPr/>
      </xdr:nvCxnSpPr>
      <xdr:spPr>
        <a:xfrm rot="5400000">
          <a:off x="3276501" y="4749905"/>
          <a:ext cx="408960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153128</xdr:colOff>
      <xdr:row>31</xdr:row>
      <xdr:rowOff>145180</xdr:rowOff>
    </xdr:from>
    <xdr:to>
      <xdr:col>9</xdr:col>
      <xdr:colOff>354296</xdr:colOff>
      <xdr:row>31</xdr:row>
      <xdr:rowOff>146767</xdr:rowOff>
    </xdr:to>
    <xdr:cxnSp macro="">
      <xdr:nvCxnSpPr>
        <xdr:cNvPr id="28" name="Straight Arrow Connector 27"/>
        <xdr:cNvCxnSpPr/>
      </xdr:nvCxnSpPr>
      <xdr:spPr>
        <a:xfrm flipV="1">
          <a:off x="5325203" y="6793630"/>
          <a:ext cx="201168" cy="1587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23897</xdr:colOff>
      <xdr:row>45</xdr:row>
      <xdr:rowOff>94121</xdr:rowOff>
    </xdr:from>
    <xdr:to>
      <xdr:col>6</xdr:col>
      <xdr:colOff>316505</xdr:colOff>
      <xdr:row>45</xdr:row>
      <xdr:rowOff>94149</xdr:rowOff>
    </xdr:to>
    <xdr:cxnSp macro="">
      <xdr:nvCxnSpPr>
        <xdr:cNvPr id="29" name="Straight Arrow Connector 28"/>
        <xdr:cNvCxnSpPr/>
      </xdr:nvCxnSpPr>
      <xdr:spPr>
        <a:xfrm flipV="1">
          <a:off x="3405272" y="7809371"/>
          <a:ext cx="292608" cy="2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13607</xdr:colOff>
      <xdr:row>7</xdr:row>
      <xdr:rowOff>95250</xdr:rowOff>
    </xdr:from>
    <xdr:to>
      <xdr:col>16</xdr:col>
      <xdr:colOff>276210</xdr:colOff>
      <xdr:row>7</xdr:row>
      <xdr:rowOff>95251</xdr:rowOff>
    </xdr:to>
    <xdr:cxnSp macro="">
      <xdr:nvCxnSpPr>
        <xdr:cNvPr id="30" name="Straight Arrow Connector 29"/>
        <xdr:cNvCxnSpPr/>
      </xdr:nvCxnSpPr>
      <xdr:spPr>
        <a:xfrm>
          <a:off x="8719457" y="1514475"/>
          <a:ext cx="453103" cy="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22953</xdr:colOff>
      <xdr:row>17</xdr:row>
      <xdr:rowOff>115983</xdr:rowOff>
    </xdr:from>
    <xdr:to>
      <xdr:col>12</xdr:col>
      <xdr:colOff>297273</xdr:colOff>
      <xdr:row>17</xdr:row>
      <xdr:rowOff>117571</xdr:rowOff>
    </xdr:to>
    <xdr:cxnSp macro="">
      <xdr:nvCxnSpPr>
        <xdr:cNvPr id="31" name="Straight Arrow Connector 30"/>
        <xdr:cNvCxnSpPr/>
      </xdr:nvCxnSpPr>
      <xdr:spPr>
        <a:xfrm>
          <a:off x="6985728" y="3649758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10948</xdr:colOff>
      <xdr:row>31</xdr:row>
      <xdr:rowOff>236151</xdr:rowOff>
    </xdr:from>
    <xdr:to>
      <xdr:col>3</xdr:col>
      <xdr:colOff>285268</xdr:colOff>
      <xdr:row>31</xdr:row>
      <xdr:rowOff>237739</xdr:rowOff>
    </xdr:to>
    <xdr:cxnSp macro="">
      <xdr:nvCxnSpPr>
        <xdr:cNvPr id="32" name="Straight Arrow Connector 31"/>
        <xdr:cNvCxnSpPr/>
      </xdr:nvCxnSpPr>
      <xdr:spPr>
        <a:xfrm>
          <a:off x="1658773" y="6884601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11</xdr:row>
      <xdr:rowOff>95250</xdr:rowOff>
    </xdr:from>
    <xdr:to>
      <xdr:col>22</xdr:col>
      <xdr:colOff>0</xdr:colOff>
      <xdr:row>11</xdr:row>
      <xdr:rowOff>95250</xdr:rowOff>
    </xdr:to>
    <xdr:cxnSp macro="">
      <xdr:nvCxnSpPr>
        <xdr:cNvPr id="33" name="Straight Arrow Connector 32"/>
        <xdr:cNvCxnSpPr/>
      </xdr:nvCxnSpPr>
      <xdr:spPr bwMode="auto">
        <a:xfrm>
          <a:off x="7115175" y="2314575"/>
          <a:ext cx="4067175" cy="0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14946</xdr:colOff>
      <xdr:row>42</xdr:row>
      <xdr:rowOff>196168</xdr:rowOff>
    </xdr:from>
    <xdr:to>
      <xdr:col>3</xdr:col>
      <xdr:colOff>270978</xdr:colOff>
      <xdr:row>42</xdr:row>
      <xdr:rowOff>196168</xdr:rowOff>
    </xdr:to>
    <xdr:cxnSp macro="">
      <xdr:nvCxnSpPr>
        <xdr:cNvPr id="34" name="Straight Arrow Connector 33"/>
        <xdr:cNvCxnSpPr/>
      </xdr:nvCxnSpPr>
      <xdr:spPr bwMode="auto">
        <a:xfrm>
          <a:off x="1662771" y="9359218"/>
          <a:ext cx="256032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35" name="Straight Connector 34"/>
        <xdr:cNvCxnSpPr/>
      </xdr:nvCxnSpPr>
      <xdr:spPr bwMode="auto">
        <a:xfrm rot="5400000">
          <a:off x="11021619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32</xdr:row>
      <xdr:rowOff>107949</xdr:rowOff>
    </xdr:from>
    <xdr:to>
      <xdr:col>21</xdr:col>
      <xdr:colOff>7</xdr:colOff>
      <xdr:row>32</xdr:row>
      <xdr:rowOff>124618</xdr:rowOff>
    </xdr:to>
    <xdr:cxnSp macro="">
      <xdr:nvCxnSpPr>
        <xdr:cNvPr id="36" name="Straight Connector 35"/>
        <xdr:cNvCxnSpPr/>
      </xdr:nvCxnSpPr>
      <xdr:spPr bwMode="auto">
        <a:xfrm rot="5400000">
          <a:off x="11021619" y="701238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32</xdr:row>
      <xdr:rowOff>116114</xdr:rowOff>
    </xdr:from>
    <xdr:to>
      <xdr:col>22</xdr:col>
      <xdr:colOff>1361</xdr:colOff>
      <xdr:row>32</xdr:row>
      <xdr:rowOff>116114</xdr:rowOff>
    </xdr:to>
    <xdr:cxnSp macro="">
      <xdr:nvCxnSpPr>
        <xdr:cNvPr id="37" name="Straight Arrow Connector 36"/>
        <xdr:cNvCxnSpPr/>
      </xdr:nvCxnSpPr>
      <xdr:spPr>
        <a:xfrm>
          <a:off x="11029950" y="7012214"/>
          <a:ext cx="15376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154802</xdr:colOff>
      <xdr:row>30</xdr:row>
      <xdr:rowOff>76418</xdr:rowOff>
    </xdr:from>
    <xdr:to>
      <xdr:col>20</xdr:col>
      <xdr:colOff>158382</xdr:colOff>
      <xdr:row>32</xdr:row>
      <xdr:rowOff>124592</xdr:rowOff>
    </xdr:to>
    <xdr:cxnSp macro="">
      <xdr:nvCxnSpPr>
        <xdr:cNvPr id="38" name="Straight Connector 37"/>
        <xdr:cNvCxnSpPr/>
      </xdr:nvCxnSpPr>
      <xdr:spPr>
        <a:xfrm rot="5400000">
          <a:off x="10752880" y="6747165"/>
          <a:ext cx="543474" cy="3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30</xdr:row>
      <xdr:rowOff>83780</xdr:rowOff>
    </xdr:from>
    <xdr:to>
      <xdr:col>21</xdr:col>
      <xdr:colOff>149926</xdr:colOff>
      <xdr:row>30</xdr:row>
      <xdr:rowOff>83780</xdr:rowOff>
    </xdr:to>
    <xdr:cxnSp macro="">
      <xdr:nvCxnSpPr>
        <xdr:cNvPr id="39" name="Straight Arrow Connector 38"/>
        <xdr:cNvCxnSpPr/>
      </xdr:nvCxnSpPr>
      <xdr:spPr>
        <a:xfrm>
          <a:off x="11035640" y="64845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35</xdr:row>
      <xdr:rowOff>107949</xdr:rowOff>
    </xdr:from>
    <xdr:to>
      <xdr:col>21</xdr:col>
      <xdr:colOff>7</xdr:colOff>
      <xdr:row>35</xdr:row>
      <xdr:rowOff>124618</xdr:rowOff>
    </xdr:to>
    <xdr:cxnSp macro="">
      <xdr:nvCxnSpPr>
        <xdr:cNvPr id="40" name="Straight Connector 39"/>
        <xdr:cNvCxnSpPr/>
      </xdr:nvCxnSpPr>
      <xdr:spPr bwMode="auto">
        <a:xfrm rot="5400000">
          <a:off x="11021619" y="775533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36</xdr:row>
      <xdr:rowOff>117474</xdr:rowOff>
    </xdr:from>
    <xdr:to>
      <xdr:col>21</xdr:col>
      <xdr:colOff>7</xdr:colOff>
      <xdr:row>36</xdr:row>
      <xdr:rowOff>134143</xdr:rowOff>
    </xdr:to>
    <xdr:cxnSp macro="">
      <xdr:nvCxnSpPr>
        <xdr:cNvPr id="41" name="Straight Connector 40"/>
        <xdr:cNvCxnSpPr/>
      </xdr:nvCxnSpPr>
      <xdr:spPr bwMode="auto">
        <a:xfrm rot="5400000">
          <a:off x="11021619" y="7936306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161925</xdr:colOff>
      <xdr:row>36</xdr:row>
      <xdr:rowOff>58964</xdr:rowOff>
    </xdr:from>
    <xdr:to>
      <xdr:col>21</xdr:col>
      <xdr:colOff>134711</xdr:colOff>
      <xdr:row>36</xdr:row>
      <xdr:rowOff>58964</xdr:rowOff>
    </xdr:to>
    <xdr:cxnSp macro="">
      <xdr:nvCxnSpPr>
        <xdr:cNvPr id="42" name="Straight Arrow Connector 41"/>
        <xdr:cNvCxnSpPr/>
      </xdr:nvCxnSpPr>
      <xdr:spPr>
        <a:xfrm>
          <a:off x="11029950" y="7869464"/>
          <a:ext cx="13471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34</xdr:row>
      <xdr:rowOff>68343</xdr:rowOff>
    </xdr:from>
    <xdr:to>
      <xdr:col>21</xdr:col>
      <xdr:colOff>5015</xdr:colOff>
      <xdr:row>36</xdr:row>
      <xdr:rowOff>50799</xdr:rowOff>
    </xdr:to>
    <xdr:cxnSp macro="">
      <xdr:nvCxnSpPr>
        <xdr:cNvPr id="43" name="Straight Connector 42"/>
        <xdr:cNvCxnSpPr/>
      </xdr:nvCxnSpPr>
      <xdr:spPr>
        <a:xfrm rot="5400000">
          <a:off x="10831680" y="7658014"/>
          <a:ext cx="401556" cy="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34</xdr:row>
      <xdr:rowOff>83780</xdr:rowOff>
    </xdr:from>
    <xdr:to>
      <xdr:col>21</xdr:col>
      <xdr:colOff>149926</xdr:colOff>
      <xdr:row>34</xdr:row>
      <xdr:rowOff>83780</xdr:rowOff>
    </xdr:to>
    <xdr:cxnSp macro="">
      <xdr:nvCxnSpPr>
        <xdr:cNvPr id="44" name="Straight Arrow Connector 43"/>
        <xdr:cNvCxnSpPr/>
      </xdr:nvCxnSpPr>
      <xdr:spPr>
        <a:xfrm>
          <a:off x="11035640" y="74751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63500</xdr:rowOff>
    </xdr:from>
    <xdr:to>
      <xdr:col>9</xdr:col>
      <xdr:colOff>330200</xdr:colOff>
      <xdr:row>13</xdr:row>
      <xdr:rowOff>65088</xdr:rowOff>
    </xdr:to>
    <xdr:cxnSp macro="">
      <xdr:nvCxnSpPr>
        <xdr:cNvPr id="45" name="Straight Arrow Connector 44"/>
        <xdr:cNvCxnSpPr/>
      </xdr:nvCxnSpPr>
      <xdr:spPr>
        <a:xfrm>
          <a:off x="5172075" y="2654300"/>
          <a:ext cx="330200" cy="158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304800</xdr:colOff>
      <xdr:row>13</xdr:row>
      <xdr:rowOff>85725</xdr:rowOff>
    </xdr:from>
    <xdr:to>
      <xdr:col>16</xdr:col>
      <xdr:colOff>276225</xdr:colOff>
      <xdr:row>17</xdr:row>
      <xdr:rowOff>38100</xdr:rowOff>
    </xdr:to>
    <xdr:grpSp>
      <xdr:nvGrpSpPr>
        <xdr:cNvPr id="46" name="Group 61"/>
        <xdr:cNvGrpSpPr>
          <a:grpSpLocks/>
        </xdr:cNvGrpSpPr>
      </xdr:nvGrpSpPr>
      <xdr:grpSpPr bwMode="auto">
        <a:xfrm>
          <a:off x="8729133" y="2255308"/>
          <a:ext cx="437092" cy="587375"/>
          <a:chOff x="10304044" y="1246340"/>
          <a:chExt cx="523028" cy="194658"/>
        </a:xfrm>
      </xdr:grpSpPr>
      <xdr:cxnSp macro="">
        <xdr:nvCxnSpPr>
          <xdr:cNvPr id="47" name="Straight Arrow Connector 46"/>
          <xdr:cNvCxnSpPr/>
        </xdr:nvCxnSpPr>
        <xdr:spPr>
          <a:xfrm>
            <a:off x="10513255" y="1246340"/>
            <a:ext cx="313817" cy="0"/>
          </a:xfrm>
          <a:prstGeom prst="straightConnector1">
            <a:avLst/>
          </a:prstGeom>
          <a:ln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Elbow Connector 47"/>
          <xdr:cNvCxnSpPr/>
        </xdr:nvCxnSpPr>
        <xdr:spPr>
          <a:xfrm>
            <a:off x="10304044" y="1246340"/>
            <a:ext cx="355659" cy="194658"/>
          </a:xfrm>
          <a:prstGeom prst="bentConnector3">
            <a:avLst>
              <a:gd name="adj1" fmla="val 50000"/>
            </a:avLst>
          </a:prstGeom>
          <a:ln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25400</xdr:colOff>
      <xdr:row>40</xdr:row>
      <xdr:rowOff>128259</xdr:rowOff>
    </xdr:from>
    <xdr:to>
      <xdr:col>9</xdr:col>
      <xdr:colOff>345440</xdr:colOff>
      <xdr:row>40</xdr:row>
      <xdr:rowOff>128259</xdr:rowOff>
    </xdr:to>
    <xdr:cxnSp macro="">
      <xdr:nvCxnSpPr>
        <xdr:cNvPr id="49" name="Straight Arrow Connector 48"/>
        <xdr:cNvCxnSpPr/>
      </xdr:nvCxnSpPr>
      <xdr:spPr>
        <a:xfrm flipV="1">
          <a:off x="5216525" y="6914822"/>
          <a:ext cx="32004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40</xdr:row>
      <xdr:rowOff>130073</xdr:rowOff>
    </xdr:from>
    <xdr:to>
      <xdr:col>12</xdr:col>
      <xdr:colOff>305308</xdr:colOff>
      <xdr:row>40</xdr:row>
      <xdr:rowOff>130073</xdr:rowOff>
    </xdr:to>
    <xdr:cxnSp macro="">
      <xdr:nvCxnSpPr>
        <xdr:cNvPr id="50" name="Straight Arrow Connector 49"/>
        <xdr:cNvCxnSpPr/>
      </xdr:nvCxnSpPr>
      <xdr:spPr>
        <a:xfrm>
          <a:off x="6989763" y="6916636"/>
          <a:ext cx="292608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25400</xdr:rowOff>
    </xdr:from>
    <xdr:to>
      <xdr:col>12</xdr:col>
      <xdr:colOff>152400</xdr:colOff>
      <xdr:row>13</xdr:row>
      <xdr:rowOff>25400</xdr:rowOff>
    </xdr:to>
    <xdr:cxnSp macro="">
      <xdr:nvCxnSpPr>
        <xdr:cNvPr id="51" name="Straight Connector 50"/>
        <xdr:cNvCxnSpPr/>
      </xdr:nvCxnSpPr>
      <xdr:spPr>
        <a:xfrm flipV="1">
          <a:off x="6962775" y="2616200"/>
          <a:ext cx="15240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10025</xdr:colOff>
      <xdr:row>13</xdr:row>
      <xdr:rowOff>121987</xdr:rowOff>
    </xdr:from>
    <xdr:to>
      <xdr:col>9</xdr:col>
      <xdr:colOff>147185</xdr:colOff>
      <xdr:row>13</xdr:row>
      <xdr:rowOff>121987</xdr:rowOff>
    </xdr:to>
    <xdr:cxnSp macro="">
      <xdr:nvCxnSpPr>
        <xdr:cNvPr id="52" name="Straight Connector 51"/>
        <xdr:cNvCxnSpPr/>
      </xdr:nvCxnSpPr>
      <xdr:spPr>
        <a:xfrm flipV="1">
          <a:off x="5182100" y="2712787"/>
          <a:ext cx="137160" cy="0"/>
        </a:xfrm>
        <a:prstGeom prst="line">
          <a:avLst/>
        </a:prstGeom>
        <a:ln cmpd="sng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123823</xdr:colOff>
      <xdr:row>13</xdr:row>
      <xdr:rowOff>89061</xdr:rowOff>
    </xdr:from>
    <xdr:to>
      <xdr:col>6</xdr:col>
      <xdr:colOff>142873</xdr:colOff>
      <xdr:row>37</xdr:row>
      <xdr:rowOff>128571</xdr:rowOff>
    </xdr:to>
    <xdr:cxnSp macro="">
      <xdr:nvCxnSpPr>
        <xdr:cNvPr id="53" name="Straight Connector 52"/>
        <xdr:cNvCxnSpPr/>
      </xdr:nvCxnSpPr>
      <xdr:spPr>
        <a:xfrm rot="16200000" flipH="1">
          <a:off x="770818" y="5423766"/>
          <a:ext cx="550686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37</xdr:row>
      <xdr:rowOff>128423</xdr:rowOff>
    </xdr:from>
    <xdr:to>
      <xdr:col>7</xdr:col>
      <xdr:colOff>762</xdr:colOff>
      <xdr:row>37</xdr:row>
      <xdr:rowOff>128423</xdr:rowOff>
    </xdr:to>
    <xdr:cxnSp macro="">
      <xdr:nvCxnSpPr>
        <xdr:cNvPr id="54" name="Straight Arrow Connector 53"/>
        <xdr:cNvCxnSpPr/>
      </xdr:nvCxnSpPr>
      <xdr:spPr>
        <a:xfrm>
          <a:off x="3533775" y="8186573"/>
          <a:ext cx="210312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32</xdr:row>
      <xdr:rowOff>107949</xdr:rowOff>
    </xdr:from>
    <xdr:to>
      <xdr:col>21</xdr:col>
      <xdr:colOff>7</xdr:colOff>
      <xdr:row>32</xdr:row>
      <xdr:rowOff>124618</xdr:rowOff>
    </xdr:to>
    <xdr:cxnSp macro="">
      <xdr:nvCxnSpPr>
        <xdr:cNvPr id="55" name="Straight Connector 54"/>
        <xdr:cNvCxnSpPr/>
      </xdr:nvCxnSpPr>
      <xdr:spPr bwMode="auto">
        <a:xfrm rot="5400000">
          <a:off x="11021619" y="7012381"/>
          <a:ext cx="16669" cy="6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32</xdr:row>
      <xdr:rowOff>116114</xdr:rowOff>
    </xdr:from>
    <xdr:to>
      <xdr:col>22</xdr:col>
      <xdr:colOff>1361</xdr:colOff>
      <xdr:row>32</xdr:row>
      <xdr:rowOff>116114</xdr:rowOff>
    </xdr:to>
    <xdr:cxnSp macro="">
      <xdr:nvCxnSpPr>
        <xdr:cNvPr id="56" name="Straight Arrow Connector 55"/>
        <xdr:cNvCxnSpPr/>
      </xdr:nvCxnSpPr>
      <xdr:spPr>
        <a:xfrm>
          <a:off x="11029950" y="7012214"/>
          <a:ext cx="153761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5690</xdr:colOff>
      <xdr:row>30</xdr:row>
      <xdr:rowOff>83780</xdr:rowOff>
    </xdr:from>
    <xdr:to>
      <xdr:col>21</xdr:col>
      <xdr:colOff>149926</xdr:colOff>
      <xdr:row>30</xdr:row>
      <xdr:rowOff>83780</xdr:rowOff>
    </xdr:to>
    <xdr:cxnSp macro="">
      <xdr:nvCxnSpPr>
        <xdr:cNvPr id="57" name="Straight Arrow Connector 56"/>
        <xdr:cNvCxnSpPr/>
      </xdr:nvCxnSpPr>
      <xdr:spPr>
        <a:xfrm>
          <a:off x="11035640" y="6484580"/>
          <a:ext cx="144236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45</xdr:row>
      <xdr:rowOff>95251</xdr:rowOff>
    </xdr:from>
    <xdr:to>
      <xdr:col>24</xdr:col>
      <xdr:colOff>152400</xdr:colOff>
      <xdr:row>45</xdr:row>
      <xdr:rowOff>95251</xdr:rowOff>
    </xdr:to>
    <xdr:cxnSp macro="">
      <xdr:nvCxnSpPr>
        <xdr:cNvPr id="58" name="Straight Arrow Connector 83"/>
        <xdr:cNvCxnSpPr>
          <a:cxnSpLocks noChangeShapeType="1"/>
        </xdr:cNvCxnSpPr>
      </xdr:nvCxnSpPr>
      <xdr:spPr bwMode="auto">
        <a:xfrm>
          <a:off x="10825163" y="7810501"/>
          <a:ext cx="2328862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241300</xdr:colOff>
      <xdr:row>50</xdr:row>
      <xdr:rowOff>114300</xdr:rowOff>
    </xdr:from>
    <xdr:to>
      <xdr:col>4</xdr:col>
      <xdr:colOff>881380</xdr:colOff>
      <xdr:row>50</xdr:row>
      <xdr:rowOff>115888</xdr:rowOff>
    </xdr:to>
    <xdr:cxnSp macro="">
      <xdr:nvCxnSpPr>
        <xdr:cNvPr id="59" name="Straight Arrow Connector 58"/>
        <xdr:cNvCxnSpPr/>
      </xdr:nvCxnSpPr>
      <xdr:spPr>
        <a:xfrm>
          <a:off x="2193925" y="10677525"/>
          <a:ext cx="64008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241300</xdr:colOff>
      <xdr:row>51</xdr:row>
      <xdr:rowOff>114300</xdr:rowOff>
    </xdr:from>
    <xdr:to>
      <xdr:col>4</xdr:col>
      <xdr:colOff>881380</xdr:colOff>
      <xdr:row>51</xdr:row>
      <xdr:rowOff>115888</xdr:rowOff>
    </xdr:to>
    <xdr:cxnSp macro="">
      <xdr:nvCxnSpPr>
        <xdr:cNvPr id="60" name="Straight Arrow Connector 59"/>
        <xdr:cNvCxnSpPr/>
      </xdr:nvCxnSpPr>
      <xdr:spPr>
        <a:xfrm>
          <a:off x="2193925" y="10868025"/>
          <a:ext cx="640080" cy="158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204788</xdr:colOff>
      <xdr:row>13</xdr:row>
      <xdr:rowOff>66286</xdr:rowOff>
    </xdr:from>
    <xdr:to>
      <xdr:col>9</xdr:col>
      <xdr:colOff>204788</xdr:colOff>
      <xdr:row>17</xdr:row>
      <xdr:rowOff>88900</xdr:rowOff>
    </xdr:to>
    <xdr:cxnSp macro="">
      <xdr:nvCxnSpPr>
        <xdr:cNvPr id="61" name="Straight Connector 60"/>
        <xdr:cNvCxnSpPr/>
      </xdr:nvCxnSpPr>
      <xdr:spPr>
        <a:xfrm rot="16200000" flipH="1">
          <a:off x="4894068" y="3139881"/>
          <a:ext cx="965589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127000</xdr:colOff>
      <xdr:row>5</xdr:row>
      <xdr:rowOff>152400</xdr:rowOff>
    </xdr:from>
    <xdr:to>
      <xdr:col>16</xdr:col>
      <xdr:colOff>241300</xdr:colOff>
      <xdr:row>5</xdr:row>
      <xdr:rowOff>153988</xdr:rowOff>
    </xdr:to>
    <xdr:cxnSp macro="">
      <xdr:nvCxnSpPr>
        <xdr:cNvPr id="62" name="Straight Arrow Connector 61"/>
        <xdr:cNvCxnSpPr/>
      </xdr:nvCxnSpPr>
      <xdr:spPr bwMode="auto">
        <a:xfrm>
          <a:off x="7089775" y="1143000"/>
          <a:ext cx="2047875" cy="1588"/>
        </a:xfrm>
        <a:prstGeom prst="straightConnector1">
          <a:avLst/>
        </a:prstGeom>
        <a:ln>
          <a:prstDash val="dash"/>
          <a:headEnd type="none" w="med" len="me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140495</xdr:colOff>
      <xdr:row>5</xdr:row>
      <xdr:rowOff>153193</xdr:rowOff>
    </xdr:from>
    <xdr:to>
      <xdr:col>12</xdr:col>
      <xdr:colOff>140495</xdr:colOff>
      <xdr:row>13</xdr:row>
      <xdr:rowOff>47624</xdr:rowOff>
    </xdr:to>
    <xdr:cxnSp macro="">
      <xdr:nvCxnSpPr>
        <xdr:cNvPr id="63" name="Straight Connector 62"/>
        <xdr:cNvCxnSpPr/>
      </xdr:nvCxnSpPr>
      <xdr:spPr>
        <a:xfrm rot="5400000">
          <a:off x="6355954" y="1891109"/>
          <a:ext cx="1494631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40</xdr:row>
      <xdr:rowOff>95250</xdr:rowOff>
    </xdr:from>
    <xdr:to>
      <xdr:col>21</xdr:col>
      <xdr:colOff>96795</xdr:colOff>
      <xdr:row>42</xdr:row>
      <xdr:rowOff>199819</xdr:rowOff>
    </xdr:to>
    <xdr:cxnSp macro="">
      <xdr:nvCxnSpPr>
        <xdr:cNvPr id="64" name="Elbow Connector 63"/>
        <xdr:cNvCxnSpPr/>
      </xdr:nvCxnSpPr>
      <xdr:spPr bwMode="auto">
        <a:xfrm>
          <a:off x="10668000" y="8810625"/>
          <a:ext cx="458745" cy="55224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36</xdr:row>
      <xdr:rowOff>142875</xdr:rowOff>
    </xdr:from>
    <xdr:to>
      <xdr:col>22</xdr:col>
      <xdr:colOff>0</xdr:colOff>
      <xdr:row>38</xdr:row>
      <xdr:rowOff>95250</xdr:rowOff>
    </xdr:to>
    <xdr:grpSp>
      <xdr:nvGrpSpPr>
        <xdr:cNvPr id="65" name="Group 93"/>
        <xdr:cNvGrpSpPr>
          <a:grpSpLocks/>
        </xdr:cNvGrpSpPr>
      </xdr:nvGrpSpPr>
      <xdr:grpSpPr bwMode="auto">
        <a:xfrm>
          <a:off x="10836275" y="6048375"/>
          <a:ext cx="498475" cy="269875"/>
          <a:chOff x="10420407" y="1311766"/>
          <a:chExt cx="375845" cy="168307"/>
        </a:xfrm>
      </xdr:grpSpPr>
      <xdr:cxnSp macro="">
        <xdr:nvCxnSpPr>
          <xdr:cNvPr id="66" name="Straight Arrow Connector 94"/>
          <xdr:cNvCxnSpPr/>
        </xdr:nvCxnSpPr>
        <xdr:spPr>
          <a:xfrm>
            <a:off x="10427498" y="1480073"/>
            <a:ext cx="368754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Elbow Connector 95"/>
          <xdr:cNvCxnSpPr/>
        </xdr:nvCxnSpPr>
        <xdr:spPr>
          <a:xfrm flipV="1">
            <a:off x="10420407" y="1311766"/>
            <a:ext cx="319114" cy="164726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12700</xdr:colOff>
      <xdr:row>38</xdr:row>
      <xdr:rowOff>118898</xdr:rowOff>
    </xdr:from>
    <xdr:to>
      <xdr:col>17</xdr:col>
      <xdr:colOff>0</xdr:colOff>
      <xdr:row>38</xdr:row>
      <xdr:rowOff>118898</xdr:rowOff>
    </xdr:to>
    <xdr:cxnSp macro="">
      <xdr:nvCxnSpPr>
        <xdr:cNvPr id="68" name="Straight Arrow Connector 67"/>
        <xdr:cNvCxnSpPr/>
      </xdr:nvCxnSpPr>
      <xdr:spPr>
        <a:xfrm flipV="1">
          <a:off x="8718550" y="8424698"/>
          <a:ext cx="4635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17</xdr:row>
      <xdr:rowOff>142875</xdr:rowOff>
    </xdr:from>
    <xdr:to>
      <xdr:col>17</xdr:col>
      <xdr:colOff>0</xdr:colOff>
      <xdr:row>19</xdr:row>
      <xdr:rowOff>114300</xdr:rowOff>
    </xdr:to>
    <xdr:grpSp>
      <xdr:nvGrpSpPr>
        <xdr:cNvPr id="69" name="Group 98"/>
        <xdr:cNvGrpSpPr>
          <a:grpSpLocks/>
        </xdr:cNvGrpSpPr>
      </xdr:nvGrpSpPr>
      <xdr:grpSpPr bwMode="auto">
        <a:xfrm>
          <a:off x="8770408" y="2947458"/>
          <a:ext cx="405342" cy="310092"/>
          <a:chOff x="10441472" y="1246340"/>
          <a:chExt cx="369704" cy="194658"/>
        </a:xfrm>
      </xdr:grpSpPr>
      <xdr:cxnSp macro="">
        <xdr:nvCxnSpPr>
          <xdr:cNvPr id="70" name="Straight Arrow Connector 69"/>
          <xdr:cNvCxnSpPr/>
        </xdr:nvCxnSpPr>
        <xdr:spPr>
          <a:xfrm>
            <a:off x="10441472" y="1246340"/>
            <a:ext cx="369704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Elbow Connector 70"/>
          <xdr:cNvCxnSpPr/>
        </xdr:nvCxnSpPr>
        <xdr:spPr>
          <a:xfrm>
            <a:off x="10441472" y="1246340"/>
            <a:ext cx="353972" cy="194658"/>
          </a:xfrm>
          <a:prstGeom prst="bent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9525</xdr:colOff>
      <xdr:row>17</xdr:row>
      <xdr:rowOff>95250</xdr:rowOff>
    </xdr:from>
    <xdr:to>
      <xdr:col>21</xdr:col>
      <xdr:colOff>135597</xdr:colOff>
      <xdr:row>19</xdr:row>
      <xdr:rowOff>104775</xdr:rowOff>
    </xdr:to>
    <xdr:cxnSp macro="">
      <xdr:nvCxnSpPr>
        <xdr:cNvPr id="72" name="Elbow Connector 71"/>
        <xdr:cNvCxnSpPr/>
      </xdr:nvCxnSpPr>
      <xdr:spPr bwMode="auto">
        <a:xfrm>
          <a:off x="10677525" y="3629025"/>
          <a:ext cx="488022" cy="5048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30</xdr:row>
      <xdr:rowOff>152400</xdr:rowOff>
    </xdr:from>
    <xdr:to>
      <xdr:col>21</xdr:col>
      <xdr:colOff>28575</xdr:colOff>
      <xdr:row>35</xdr:row>
      <xdr:rowOff>114300</xdr:rowOff>
    </xdr:to>
    <xdr:grpSp>
      <xdr:nvGrpSpPr>
        <xdr:cNvPr id="73" name="Group 114"/>
        <xdr:cNvGrpSpPr>
          <a:grpSpLocks/>
        </xdr:cNvGrpSpPr>
      </xdr:nvGrpSpPr>
      <xdr:grpSpPr bwMode="auto">
        <a:xfrm>
          <a:off x="10826750" y="5105400"/>
          <a:ext cx="388408" cy="755650"/>
          <a:chOff x="10405601" y="6956061"/>
          <a:chExt cx="467297" cy="203593"/>
        </a:xfrm>
      </xdr:grpSpPr>
      <xdr:cxnSp macro="">
        <xdr:nvCxnSpPr>
          <xdr:cNvPr id="74" name="Straight Arrow Connector 73"/>
          <xdr:cNvCxnSpPr/>
        </xdr:nvCxnSpPr>
        <xdr:spPr>
          <a:xfrm>
            <a:off x="10405601" y="6956061"/>
            <a:ext cx="421707" cy="0"/>
          </a:xfrm>
          <a:prstGeom prst="straightConnector1">
            <a:avLst/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Elbow Connector 74"/>
          <xdr:cNvCxnSpPr/>
        </xdr:nvCxnSpPr>
        <xdr:spPr>
          <a:xfrm>
            <a:off x="10473986" y="6956061"/>
            <a:ext cx="398912" cy="203593"/>
          </a:xfrm>
          <a:prstGeom prst="bentConnector3">
            <a:avLst>
              <a:gd name="adj1" fmla="val 50000"/>
            </a:avLst>
          </a:prstGeom>
          <a:ln>
            <a:prstDash val="solid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31</xdr:row>
      <xdr:rowOff>95250</xdr:rowOff>
    </xdr:from>
    <xdr:to>
      <xdr:col>16</xdr:col>
      <xdr:colOff>276225</xdr:colOff>
      <xdr:row>31</xdr:row>
      <xdr:rowOff>95250</xdr:rowOff>
    </xdr:to>
    <xdr:cxnSp macro="">
      <xdr:nvCxnSpPr>
        <xdr:cNvPr id="76" name="Straight Arrow Connector 118"/>
        <xdr:cNvCxnSpPr>
          <a:cxnSpLocks noChangeShapeType="1"/>
        </xdr:cNvCxnSpPr>
      </xdr:nvCxnSpPr>
      <xdr:spPr bwMode="auto">
        <a:xfrm>
          <a:off x="8705850" y="6743700"/>
          <a:ext cx="466725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28575</xdr:colOff>
      <xdr:row>31</xdr:row>
      <xdr:rowOff>95250</xdr:rowOff>
    </xdr:from>
    <xdr:to>
      <xdr:col>16</xdr:col>
      <xdr:colOff>247650</xdr:colOff>
      <xdr:row>33</xdr:row>
      <xdr:rowOff>142875</xdr:rowOff>
    </xdr:to>
    <xdr:cxnSp macro="">
      <xdr:nvCxnSpPr>
        <xdr:cNvPr id="77" name="Elbow Connector 119"/>
        <xdr:cNvCxnSpPr>
          <a:cxnSpLocks noChangeShapeType="1"/>
        </xdr:cNvCxnSpPr>
      </xdr:nvCxnSpPr>
      <xdr:spPr bwMode="auto">
        <a:xfrm>
          <a:off x="8734425" y="6743700"/>
          <a:ext cx="409575" cy="542925"/>
        </a:xfrm>
        <a:prstGeom prst="bentConnector3">
          <a:avLst>
            <a:gd name="adj1" fmla="val 25944"/>
          </a:avLst>
        </a:prstGeom>
        <a:noFill/>
        <a:ln w="9525" algn="ctr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24</xdr:row>
      <xdr:rowOff>142875</xdr:rowOff>
    </xdr:from>
    <xdr:to>
      <xdr:col>9</xdr:col>
      <xdr:colOff>342900</xdr:colOff>
      <xdr:row>24</xdr:row>
      <xdr:rowOff>142875</xdr:rowOff>
    </xdr:to>
    <xdr:cxnSp macro="">
      <xdr:nvCxnSpPr>
        <xdr:cNvPr id="78" name="Straight Arrow Connector 133"/>
        <xdr:cNvCxnSpPr>
          <a:cxnSpLocks noChangeShapeType="1"/>
        </xdr:cNvCxnSpPr>
      </xdr:nvCxnSpPr>
      <xdr:spPr bwMode="auto">
        <a:xfrm>
          <a:off x="5191125" y="5267325"/>
          <a:ext cx="323850" cy="0"/>
        </a:xfrm>
        <a:prstGeom prst="straightConnector1">
          <a:avLst/>
        </a:prstGeom>
        <a:noFill/>
        <a:ln w="9525" algn="ctr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176890</xdr:colOff>
      <xdr:row>23</xdr:row>
      <xdr:rowOff>124849</xdr:rowOff>
    </xdr:from>
    <xdr:to>
      <xdr:col>15</xdr:col>
      <xdr:colOff>176890</xdr:colOff>
      <xdr:row>25</xdr:row>
      <xdr:rowOff>105430</xdr:rowOff>
    </xdr:to>
    <xdr:cxnSp macro="">
      <xdr:nvCxnSpPr>
        <xdr:cNvPr id="79" name="Straight Connector 78"/>
        <xdr:cNvCxnSpPr/>
      </xdr:nvCxnSpPr>
      <xdr:spPr>
        <a:xfrm rot="16200000" flipH="1">
          <a:off x="8630512" y="5253877"/>
          <a:ext cx="504456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180975</xdr:colOff>
      <xdr:row>23</xdr:row>
      <xdr:rowOff>105277</xdr:rowOff>
    </xdr:from>
    <xdr:to>
      <xdr:col>17</xdr:col>
      <xdr:colOff>1356</xdr:colOff>
      <xdr:row>23</xdr:row>
      <xdr:rowOff>105277</xdr:rowOff>
    </xdr:to>
    <xdr:cxnSp macro="">
      <xdr:nvCxnSpPr>
        <xdr:cNvPr id="80" name="Straight Arrow Connector 79"/>
        <xdr:cNvCxnSpPr/>
      </xdr:nvCxnSpPr>
      <xdr:spPr>
        <a:xfrm flipV="1">
          <a:off x="8886825" y="4982077"/>
          <a:ext cx="296631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176893</xdr:colOff>
      <xdr:row>25</xdr:row>
      <xdr:rowOff>108857</xdr:rowOff>
    </xdr:from>
    <xdr:to>
      <xdr:col>16</xdr:col>
      <xdr:colOff>284048</xdr:colOff>
      <xdr:row>25</xdr:row>
      <xdr:rowOff>110290</xdr:rowOff>
    </xdr:to>
    <xdr:cxnSp macro="">
      <xdr:nvCxnSpPr>
        <xdr:cNvPr id="81" name="Straight Arrow Connector 80"/>
        <xdr:cNvCxnSpPr/>
      </xdr:nvCxnSpPr>
      <xdr:spPr>
        <a:xfrm>
          <a:off x="8882743" y="5509532"/>
          <a:ext cx="297655" cy="143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8072</xdr:colOff>
      <xdr:row>25</xdr:row>
      <xdr:rowOff>104493</xdr:rowOff>
    </xdr:from>
    <xdr:to>
      <xdr:col>21</xdr:col>
      <xdr:colOff>122372</xdr:colOff>
      <xdr:row>25</xdr:row>
      <xdr:rowOff>104493</xdr:rowOff>
    </xdr:to>
    <xdr:cxnSp macro="">
      <xdr:nvCxnSpPr>
        <xdr:cNvPr id="82" name="Straight Arrow Connector 81"/>
        <xdr:cNvCxnSpPr/>
      </xdr:nvCxnSpPr>
      <xdr:spPr bwMode="auto">
        <a:xfrm>
          <a:off x="10676072" y="5505168"/>
          <a:ext cx="47625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8207</xdr:colOff>
      <xdr:row>25</xdr:row>
      <xdr:rowOff>101774</xdr:rowOff>
    </xdr:from>
    <xdr:to>
      <xdr:col>21</xdr:col>
      <xdr:colOff>103406</xdr:colOff>
      <xdr:row>28</xdr:row>
      <xdr:rowOff>154856</xdr:rowOff>
    </xdr:to>
    <xdr:cxnSp macro="">
      <xdr:nvCxnSpPr>
        <xdr:cNvPr id="83" name="Elbow Connector 82"/>
        <xdr:cNvCxnSpPr/>
      </xdr:nvCxnSpPr>
      <xdr:spPr bwMode="auto">
        <a:xfrm>
          <a:off x="10834957" y="4245149"/>
          <a:ext cx="452387" cy="5293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11369</xdr:colOff>
      <xdr:row>24</xdr:row>
      <xdr:rowOff>114259</xdr:rowOff>
    </xdr:from>
    <xdr:to>
      <xdr:col>16</xdr:col>
      <xdr:colOff>3749</xdr:colOff>
      <xdr:row>24</xdr:row>
      <xdr:rowOff>115847</xdr:rowOff>
    </xdr:to>
    <xdr:cxnSp macro="">
      <xdr:nvCxnSpPr>
        <xdr:cNvPr id="84" name="Straight Connector 72"/>
        <xdr:cNvCxnSpPr/>
      </xdr:nvCxnSpPr>
      <xdr:spPr>
        <a:xfrm>
          <a:off x="8717219" y="5238709"/>
          <a:ext cx="182880" cy="1588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38229</xdr:colOff>
      <xdr:row>23</xdr:row>
      <xdr:rowOff>106216</xdr:rowOff>
    </xdr:from>
    <xdr:to>
      <xdr:col>22</xdr:col>
      <xdr:colOff>4939</xdr:colOff>
      <xdr:row>23</xdr:row>
      <xdr:rowOff>106216</xdr:rowOff>
    </xdr:to>
    <xdr:cxnSp macro="">
      <xdr:nvCxnSpPr>
        <xdr:cNvPr id="85" name="Straight Arrow Connector 84"/>
        <xdr:cNvCxnSpPr/>
      </xdr:nvCxnSpPr>
      <xdr:spPr bwMode="auto">
        <a:xfrm>
          <a:off x="10706229" y="4983016"/>
          <a:ext cx="481060" cy="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21</xdr:row>
      <xdr:rowOff>154782</xdr:rowOff>
    </xdr:from>
    <xdr:to>
      <xdr:col>21</xdr:col>
      <xdr:colOff>107157</xdr:colOff>
      <xdr:row>23</xdr:row>
      <xdr:rowOff>101203</xdr:rowOff>
    </xdr:to>
    <xdr:cxnSp macro="">
      <xdr:nvCxnSpPr>
        <xdr:cNvPr id="86" name="Elbow Connector 85"/>
        <xdr:cNvCxnSpPr/>
      </xdr:nvCxnSpPr>
      <xdr:spPr bwMode="auto">
        <a:xfrm flipV="1">
          <a:off x="10687050" y="4536282"/>
          <a:ext cx="450057" cy="44172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305876</xdr:colOff>
      <xdr:row>33</xdr:row>
      <xdr:rowOff>104775</xdr:rowOff>
    </xdr:from>
    <xdr:to>
      <xdr:col>20</xdr:col>
      <xdr:colOff>17866</xdr:colOff>
      <xdr:row>33</xdr:row>
      <xdr:rowOff>106363</xdr:rowOff>
    </xdr:to>
    <xdr:cxnSp macro="">
      <xdr:nvCxnSpPr>
        <xdr:cNvPr id="87" name="Straight Arrow Connector 86"/>
        <xdr:cNvCxnSpPr/>
      </xdr:nvCxnSpPr>
      <xdr:spPr>
        <a:xfrm>
          <a:off x="10659551" y="7248525"/>
          <a:ext cx="22634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63500</xdr:rowOff>
    </xdr:from>
    <xdr:to>
      <xdr:col>20</xdr:col>
      <xdr:colOff>50800</xdr:colOff>
      <xdr:row>19</xdr:row>
      <xdr:rowOff>101600</xdr:rowOff>
    </xdr:to>
    <xdr:cxnSp macro="">
      <xdr:nvCxnSpPr>
        <xdr:cNvPr id="88" name="Elbow Connector 87"/>
        <xdr:cNvCxnSpPr/>
      </xdr:nvCxnSpPr>
      <xdr:spPr>
        <a:xfrm flipV="1">
          <a:off x="10668000" y="3844925"/>
          <a:ext cx="250825" cy="285750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315042</xdr:colOff>
      <xdr:row>24</xdr:row>
      <xdr:rowOff>90321</xdr:rowOff>
    </xdr:from>
    <xdr:to>
      <xdr:col>12</xdr:col>
      <xdr:colOff>271862</xdr:colOff>
      <xdr:row>24</xdr:row>
      <xdr:rowOff>91909</xdr:rowOff>
    </xdr:to>
    <xdr:cxnSp macro="">
      <xdr:nvCxnSpPr>
        <xdr:cNvPr id="89" name="Straight Arrow Connector 88"/>
        <xdr:cNvCxnSpPr/>
      </xdr:nvCxnSpPr>
      <xdr:spPr>
        <a:xfrm>
          <a:off x="6998417" y="4074946"/>
          <a:ext cx="274320" cy="1588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104775</xdr:colOff>
      <xdr:row>0</xdr:row>
      <xdr:rowOff>0</xdr:rowOff>
    </xdr:from>
    <xdr:to>
      <xdr:col>1</xdr:col>
      <xdr:colOff>609600</xdr:colOff>
      <xdr:row>2</xdr:row>
      <xdr:rowOff>47625</xdr:rowOff>
    </xdr:to>
    <xdr:pic>
      <xdr:nvPicPr>
        <xdr:cNvPr id="90" name="Picture 126" descr="LOGO PERBANAS INSTITUT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5048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2</xdr:row>
      <xdr:rowOff>57150</xdr:rowOff>
    </xdr:from>
    <xdr:to>
      <xdr:col>27</xdr:col>
      <xdr:colOff>0</xdr:colOff>
      <xdr:row>2</xdr:row>
      <xdr:rowOff>58738</xdr:rowOff>
    </xdr:to>
    <xdr:cxnSp macro="">
      <xdr:nvCxnSpPr>
        <xdr:cNvPr id="91" name="Straight Connector 90"/>
        <xdr:cNvCxnSpPr/>
      </xdr:nvCxnSpPr>
      <xdr:spPr>
        <a:xfrm>
          <a:off x="266700" y="476250"/>
          <a:ext cx="15344775" cy="1588"/>
        </a:xfrm>
        <a:prstGeom prst="line">
          <a:avLst/>
        </a:prstGeom>
        <a:ln w="44450" cmpd="thickThin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17972</xdr:colOff>
      <xdr:row>14</xdr:row>
      <xdr:rowOff>134788</xdr:rowOff>
    </xdr:from>
    <xdr:to>
      <xdr:col>20</xdr:col>
      <xdr:colOff>26958</xdr:colOff>
      <xdr:row>15</xdr:row>
      <xdr:rowOff>161745</xdr:rowOff>
    </xdr:to>
    <xdr:cxnSp macro="">
      <xdr:nvCxnSpPr>
        <xdr:cNvPr id="92" name="Straight Connector 91"/>
        <xdr:cNvCxnSpPr/>
      </xdr:nvCxnSpPr>
      <xdr:spPr>
        <a:xfrm rot="5400000">
          <a:off x="10776999" y="3082236"/>
          <a:ext cx="226982" cy="8986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26958</xdr:colOff>
      <xdr:row>15</xdr:row>
      <xdr:rowOff>129877</xdr:rowOff>
    </xdr:from>
    <xdr:to>
      <xdr:col>22</xdr:col>
      <xdr:colOff>5191</xdr:colOff>
      <xdr:row>15</xdr:row>
      <xdr:rowOff>134787</xdr:rowOff>
    </xdr:to>
    <xdr:cxnSp macro="">
      <xdr:nvCxnSpPr>
        <xdr:cNvPr id="93" name="Straight Arrow Connector 92"/>
        <xdr:cNvCxnSpPr/>
      </xdr:nvCxnSpPr>
      <xdr:spPr>
        <a:xfrm flipV="1">
          <a:off x="10894983" y="3168352"/>
          <a:ext cx="292558" cy="491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14</xdr:row>
      <xdr:rowOff>133350</xdr:rowOff>
    </xdr:from>
    <xdr:to>
      <xdr:col>20</xdr:col>
      <xdr:colOff>19050</xdr:colOff>
      <xdr:row>14</xdr:row>
      <xdr:rowOff>133350</xdr:rowOff>
    </xdr:to>
    <xdr:cxnSp macro="">
      <xdr:nvCxnSpPr>
        <xdr:cNvPr id="95" name="Straight Connector 72"/>
        <xdr:cNvCxnSpPr/>
      </xdr:nvCxnSpPr>
      <xdr:spPr>
        <a:xfrm>
          <a:off x="8839200" y="2971800"/>
          <a:ext cx="204787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83343</xdr:colOff>
      <xdr:row>13</xdr:row>
      <xdr:rowOff>130971</xdr:rowOff>
    </xdr:from>
    <xdr:to>
      <xdr:col>3</xdr:col>
      <xdr:colOff>130972</xdr:colOff>
      <xdr:row>40</xdr:row>
      <xdr:rowOff>154781</xdr:rowOff>
    </xdr:to>
    <xdr:cxnSp macro="">
      <xdr:nvCxnSpPr>
        <xdr:cNvPr id="96" name="Straight Connector 95"/>
        <xdr:cNvCxnSpPr/>
      </xdr:nvCxnSpPr>
      <xdr:spPr>
        <a:xfrm flipH="1">
          <a:off x="1731168" y="2721771"/>
          <a:ext cx="47629" cy="61483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95249</xdr:colOff>
      <xdr:row>40</xdr:row>
      <xdr:rowOff>154781</xdr:rowOff>
    </xdr:from>
    <xdr:to>
      <xdr:col>7</xdr:col>
      <xdr:colOff>23812</xdr:colOff>
      <xdr:row>40</xdr:row>
      <xdr:rowOff>154782</xdr:rowOff>
    </xdr:to>
    <xdr:cxnSp macro="">
      <xdr:nvCxnSpPr>
        <xdr:cNvPr id="97" name="Straight Arrow Connector 96"/>
        <xdr:cNvCxnSpPr/>
      </xdr:nvCxnSpPr>
      <xdr:spPr>
        <a:xfrm flipV="1">
          <a:off x="1738312" y="6941344"/>
          <a:ext cx="2024063" cy="1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8"/>
  <sheetViews>
    <sheetView workbookViewId="0">
      <selection activeCell="Z18" sqref="Z18"/>
    </sheetView>
  </sheetViews>
  <sheetFormatPr defaultRowHeight="15" x14ac:dyDescent="0.25"/>
  <cols>
    <col min="2" max="2" width="13.7109375" style="1" customWidth="1"/>
    <col min="3" max="3" width="10.42578125" style="1" customWidth="1"/>
    <col min="4" max="4" width="43.7109375" customWidth="1"/>
    <col min="5" max="5" width="8.7109375" style="1" customWidth="1"/>
    <col min="6" max="6" width="19.7109375" style="1" customWidth="1"/>
  </cols>
  <sheetData>
    <row r="1" spans="2:6" ht="15.75" thickBot="1" x14ac:dyDescent="0.3"/>
    <row r="2" spans="2:6" x14ac:dyDescent="0.25">
      <c r="B2" s="379" t="s">
        <v>0</v>
      </c>
      <c r="C2" s="380"/>
      <c r="D2" s="380"/>
      <c r="E2" s="380"/>
      <c r="F2" s="381"/>
    </row>
    <row r="3" spans="2:6" ht="15.75" thickBot="1" x14ac:dyDescent="0.3">
      <c r="B3" s="30" t="s">
        <v>1</v>
      </c>
      <c r="C3" s="31" t="s">
        <v>2</v>
      </c>
      <c r="D3" s="31" t="s">
        <v>3</v>
      </c>
      <c r="E3" s="31" t="s">
        <v>4</v>
      </c>
      <c r="F3" s="32" t="s">
        <v>5</v>
      </c>
    </row>
    <row r="4" spans="2:6" ht="15.75" thickTop="1" x14ac:dyDescent="0.25">
      <c r="B4" s="3" t="s">
        <v>6</v>
      </c>
      <c r="C4" s="4"/>
      <c r="D4" s="5"/>
      <c r="E4" s="4"/>
      <c r="F4" s="6"/>
    </row>
    <row r="5" spans="2:6" x14ac:dyDescent="0.25">
      <c r="B5" s="3">
        <v>1</v>
      </c>
      <c r="C5" s="4" t="s">
        <v>7</v>
      </c>
      <c r="D5" s="5" t="s">
        <v>8</v>
      </c>
      <c r="E5" s="4">
        <v>3</v>
      </c>
      <c r="F5" s="6" t="s">
        <v>9</v>
      </c>
    </row>
    <row r="6" spans="2:6" x14ac:dyDescent="0.25">
      <c r="B6" s="3">
        <v>2</v>
      </c>
      <c r="C6" s="4" t="s">
        <v>10</v>
      </c>
      <c r="D6" s="5" t="s">
        <v>11</v>
      </c>
      <c r="E6" s="4">
        <v>3</v>
      </c>
      <c r="F6" s="6" t="s">
        <v>9</v>
      </c>
    </row>
    <row r="7" spans="2:6" x14ac:dyDescent="0.25">
      <c r="B7" s="3">
        <v>3</v>
      </c>
      <c r="C7" s="4" t="s">
        <v>12</v>
      </c>
      <c r="D7" s="5" t="s">
        <v>13</v>
      </c>
      <c r="E7" s="4">
        <v>3</v>
      </c>
      <c r="F7" s="6" t="s">
        <v>9</v>
      </c>
    </row>
    <row r="8" spans="2:6" x14ac:dyDescent="0.25">
      <c r="B8" s="3">
        <v>4</v>
      </c>
      <c r="C8" s="4" t="s">
        <v>14</v>
      </c>
      <c r="D8" s="5" t="s">
        <v>15</v>
      </c>
      <c r="E8" s="4">
        <v>2</v>
      </c>
      <c r="F8" s="6" t="s">
        <v>16</v>
      </c>
    </row>
    <row r="9" spans="2:6" x14ac:dyDescent="0.25">
      <c r="B9" s="3">
        <v>5</v>
      </c>
      <c r="C9" s="4" t="s">
        <v>17</v>
      </c>
      <c r="D9" s="5" t="s">
        <v>18</v>
      </c>
      <c r="E9" s="4">
        <v>3</v>
      </c>
      <c r="F9" s="6" t="s">
        <v>9</v>
      </c>
    </row>
    <row r="10" spans="2:6" x14ac:dyDescent="0.25">
      <c r="B10" s="3">
        <v>6</v>
      </c>
      <c r="C10" s="4" t="s">
        <v>19</v>
      </c>
      <c r="D10" s="5" t="s">
        <v>20</v>
      </c>
      <c r="E10" s="4">
        <v>2</v>
      </c>
      <c r="F10" s="6" t="s">
        <v>21</v>
      </c>
    </row>
    <row r="11" spans="2:6" x14ac:dyDescent="0.25">
      <c r="B11" s="3">
        <v>7</v>
      </c>
      <c r="C11" s="4" t="s">
        <v>22</v>
      </c>
      <c r="D11" s="5" t="s">
        <v>23</v>
      </c>
      <c r="E11" s="4">
        <v>3</v>
      </c>
      <c r="F11" s="6" t="s">
        <v>21</v>
      </c>
    </row>
    <row r="12" spans="2:6" x14ac:dyDescent="0.25">
      <c r="B12" s="3"/>
      <c r="C12" s="4"/>
      <c r="D12" s="7" t="s">
        <v>166</v>
      </c>
      <c r="E12" s="4">
        <f>SUM(E5:E11)</f>
        <v>19</v>
      </c>
      <c r="F12" s="6"/>
    </row>
    <row r="13" spans="2:6" x14ac:dyDescent="0.25">
      <c r="B13" s="3" t="s">
        <v>24</v>
      </c>
      <c r="C13" s="4"/>
      <c r="D13" s="5"/>
      <c r="E13" s="4"/>
      <c r="F13" s="6"/>
    </row>
    <row r="14" spans="2:6" x14ac:dyDescent="0.25">
      <c r="B14" s="3">
        <v>1</v>
      </c>
      <c r="C14" s="4" t="s">
        <v>25</v>
      </c>
      <c r="D14" s="5" t="s">
        <v>26</v>
      </c>
      <c r="E14" s="4">
        <v>2</v>
      </c>
      <c r="F14" s="6" t="s">
        <v>9</v>
      </c>
    </row>
    <row r="15" spans="2:6" x14ac:dyDescent="0.25">
      <c r="B15" s="3">
        <v>2</v>
      </c>
      <c r="C15" s="4" t="s">
        <v>27</v>
      </c>
      <c r="D15" s="5" t="s">
        <v>28</v>
      </c>
      <c r="E15" s="4">
        <v>3</v>
      </c>
      <c r="F15" s="6" t="s">
        <v>9</v>
      </c>
    </row>
    <row r="16" spans="2:6" x14ac:dyDescent="0.25">
      <c r="B16" s="3">
        <v>3</v>
      </c>
      <c r="C16" s="4" t="s">
        <v>29</v>
      </c>
      <c r="D16" s="5" t="s">
        <v>30</v>
      </c>
      <c r="E16" s="4">
        <v>2</v>
      </c>
      <c r="F16" s="6" t="s">
        <v>9</v>
      </c>
    </row>
    <row r="17" spans="2:6" x14ac:dyDescent="0.25">
      <c r="B17" s="3">
        <v>4</v>
      </c>
      <c r="C17" s="4" t="s">
        <v>31</v>
      </c>
      <c r="D17" s="5" t="s">
        <v>32</v>
      </c>
      <c r="E17" s="4">
        <v>2</v>
      </c>
      <c r="F17" s="6" t="s">
        <v>21</v>
      </c>
    </row>
    <row r="18" spans="2:6" x14ac:dyDescent="0.25">
      <c r="B18" s="3">
        <v>5</v>
      </c>
      <c r="C18" s="4" t="s">
        <v>33</v>
      </c>
      <c r="D18" s="5" t="s">
        <v>34</v>
      </c>
      <c r="E18" s="4">
        <v>2</v>
      </c>
      <c r="F18" s="6" t="s">
        <v>9</v>
      </c>
    </row>
    <row r="19" spans="2:6" x14ac:dyDescent="0.25">
      <c r="B19" s="3">
        <v>6</v>
      </c>
      <c r="C19" s="4" t="s">
        <v>35</v>
      </c>
      <c r="D19" s="5" t="s">
        <v>36</v>
      </c>
      <c r="E19" s="4">
        <v>2</v>
      </c>
      <c r="F19" s="6" t="s">
        <v>16</v>
      </c>
    </row>
    <row r="20" spans="2:6" x14ac:dyDescent="0.25">
      <c r="B20" s="3">
        <v>7</v>
      </c>
      <c r="C20" s="4" t="s">
        <v>37</v>
      </c>
      <c r="D20" s="5" t="s">
        <v>38</v>
      </c>
      <c r="E20" s="4">
        <v>2</v>
      </c>
      <c r="F20" s="6" t="s">
        <v>21</v>
      </c>
    </row>
    <row r="21" spans="2:6" x14ac:dyDescent="0.25">
      <c r="B21" s="3">
        <v>8</v>
      </c>
      <c r="C21" s="4" t="s">
        <v>39</v>
      </c>
      <c r="D21" s="5" t="s">
        <v>40</v>
      </c>
      <c r="E21" s="4">
        <v>3</v>
      </c>
      <c r="F21" s="6" t="s">
        <v>21</v>
      </c>
    </row>
    <row r="22" spans="2:6" x14ac:dyDescent="0.25">
      <c r="B22" s="3"/>
      <c r="C22" s="4"/>
      <c r="D22" s="7" t="s">
        <v>166</v>
      </c>
      <c r="E22" s="4">
        <f>SUM(E14:E21)</f>
        <v>18</v>
      </c>
      <c r="F22" s="6"/>
    </row>
    <row r="23" spans="2:6" x14ac:dyDescent="0.25">
      <c r="B23" s="3" t="s">
        <v>41</v>
      </c>
      <c r="C23" s="4"/>
      <c r="D23" s="5"/>
      <c r="E23" s="4"/>
      <c r="F23" s="6"/>
    </row>
    <row r="24" spans="2:6" x14ac:dyDescent="0.25">
      <c r="B24" s="3">
        <v>1</v>
      </c>
      <c r="C24" s="4" t="s">
        <v>42</v>
      </c>
      <c r="D24" s="5" t="s">
        <v>43</v>
      </c>
      <c r="E24" s="4">
        <v>3</v>
      </c>
      <c r="F24" s="6" t="s">
        <v>44</v>
      </c>
    </row>
    <row r="25" spans="2:6" x14ac:dyDescent="0.25">
      <c r="B25" s="3">
        <v>2</v>
      </c>
      <c r="C25" s="4" t="s">
        <v>45</v>
      </c>
      <c r="D25" s="5" t="s">
        <v>46</v>
      </c>
      <c r="E25" s="4">
        <v>3</v>
      </c>
      <c r="F25" s="6" t="s">
        <v>44</v>
      </c>
    </row>
    <row r="26" spans="2:6" x14ac:dyDescent="0.25">
      <c r="B26" s="3">
        <v>3</v>
      </c>
      <c r="C26" s="4" t="s">
        <v>47</v>
      </c>
      <c r="D26" s="5" t="s">
        <v>48</v>
      </c>
      <c r="E26" s="4">
        <v>2</v>
      </c>
      <c r="F26" s="6" t="s">
        <v>44</v>
      </c>
    </row>
    <row r="27" spans="2:6" x14ac:dyDescent="0.25">
      <c r="B27" s="3">
        <v>4</v>
      </c>
      <c r="C27" s="4" t="s">
        <v>49</v>
      </c>
      <c r="D27" s="5" t="s">
        <v>50</v>
      </c>
      <c r="E27" s="4">
        <v>3</v>
      </c>
      <c r="F27" s="6" t="s">
        <v>44</v>
      </c>
    </row>
    <row r="28" spans="2:6" x14ac:dyDescent="0.25">
      <c r="B28" s="3">
        <v>5</v>
      </c>
      <c r="C28" s="4" t="s">
        <v>51</v>
      </c>
      <c r="D28" s="5" t="s">
        <v>52</v>
      </c>
      <c r="E28" s="4">
        <v>3</v>
      </c>
      <c r="F28" s="6" t="s">
        <v>44</v>
      </c>
    </row>
    <row r="29" spans="2:6" x14ac:dyDescent="0.25">
      <c r="B29" s="3">
        <v>6</v>
      </c>
      <c r="C29" s="4" t="s">
        <v>53</v>
      </c>
      <c r="D29" s="5" t="s">
        <v>54</v>
      </c>
      <c r="E29" s="4">
        <v>2</v>
      </c>
      <c r="F29" s="6" t="s">
        <v>21</v>
      </c>
    </row>
    <row r="30" spans="2:6" x14ac:dyDescent="0.25">
      <c r="B30" s="3">
        <v>7</v>
      </c>
      <c r="C30" s="4" t="s">
        <v>55</v>
      </c>
      <c r="D30" s="5" t="s">
        <v>56</v>
      </c>
      <c r="E30" s="4">
        <v>3</v>
      </c>
      <c r="F30" s="6" t="s">
        <v>21</v>
      </c>
    </row>
    <row r="31" spans="2:6" x14ac:dyDescent="0.25">
      <c r="B31" s="3">
        <v>8</v>
      </c>
      <c r="C31" s="4" t="s">
        <v>57</v>
      </c>
      <c r="D31" s="5" t="s">
        <v>58</v>
      </c>
      <c r="E31" s="4">
        <v>2</v>
      </c>
      <c r="F31" s="6" t="s">
        <v>9</v>
      </c>
    </row>
    <row r="32" spans="2:6" x14ac:dyDescent="0.25">
      <c r="B32" s="3"/>
      <c r="C32" s="4"/>
      <c r="D32" s="7" t="s">
        <v>166</v>
      </c>
      <c r="E32" s="4">
        <f>SUM(E24:E31)</f>
        <v>21</v>
      </c>
      <c r="F32" s="6"/>
    </row>
    <row r="33" spans="2:6" x14ac:dyDescent="0.25">
      <c r="B33" s="3" t="s">
        <v>59</v>
      </c>
      <c r="C33" s="4"/>
      <c r="D33" s="5"/>
      <c r="E33" s="4"/>
      <c r="F33" s="6"/>
    </row>
    <row r="34" spans="2:6" x14ac:dyDescent="0.25">
      <c r="B34" s="3">
        <v>1</v>
      </c>
      <c r="C34" s="4" t="s">
        <v>60</v>
      </c>
      <c r="D34" s="5" t="s">
        <v>61</v>
      </c>
      <c r="E34" s="4">
        <v>3</v>
      </c>
      <c r="F34" s="6" t="s">
        <v>44</v>
      </c>
    </row>
    <row r="35" spans="2:6" x14ac:dyDescent="0.25">
      <c r="B35" s="3">
        <v>2</v>
      </c>
      <c r="C35" s="4" t="s">
        <v>62</v>
      </c>
      <c r="D35" s="5" t="s">
        <v>63</v>
      </c>
      <c r="E35" s="4">
        <v>3</v>
      </c>
      <c r="F35" s="6" t="s">
        <v>44</v>
      </c>
    </row>
    <row r="36" spans="2:6" x14ac:dyDescent="0.25">
      <c r="B36" s="3">
        <v>3</v>
      </c>
      <c r="C36" s="4" t="s">
        <v>64</v>
      </c>
      <c r="D36" s="5" t="s">
        <v>65</v>
      </c>
      <c r="E36" s="4">
        <v>3</v>
      </c>
      <c r="F36" s="6" t="s">
        <v>44</v>
      </c>
    </row>
    <row r="37" spans="2:6" x14ac:dyDescent="0.25">
      <c r="B37" s="3">
        <v>4</v>
      </c>
      <c r="C37" s="4" t="s">
        <v>66</v>
      </c>
      <c r="D37" s="5" t="s">
        <v>182</v>
      </c>
      <c r="E37" s="4">
        <v>2</v>
      </c>
      <c r="F37" s="6" t="s">
        <v>44</v>
      </c>
    </row>
    <row r="38" spans="2:6" x14ac:dyDescent="0.25">
      <c r="B38" s="3">
        <v>5</v>
      </c>
      <c r="C38" s="4" t="s">
        <v>67</v>
      </c>
      <c r="D38" s="5" t="s">
        <v>68</v>
      </c>
      <c r="E38" s="4">
        <v>3</v>
      </c>
      <c r="F38" s="6" t="s">
        <v>44</v>
      </c>
    </row>
    <row r="39" spans="2:6" x14ac:dyDescent="0.25">
      <c r="B39" s="3">
        <v>6</v>
      </c>
      <c r="C39" s="4" t="s">
        <v>69</v>
      </c>
      <c r="D39" s="5" t="s">
        <v>70</v>
      </c>
      <c r="E39" s="4">
        <v>3</v>
      </c>
      <c r="F39" s="6" t="s">
        <v>44</v>
      </c>
    </row>
    <row r="40" spans="2:6" x14ac:dyDescent="0.25">
      <c r="B40" s="3">
        <v>7</v>
      </c>
      <c r="C40" s="4" t="s">
        <v>71</v>
      </c>
      <c r="D40" s="5" t="s">
        <v>189</v>
      </c>
      <c r="E40" s="4">
        <v>3</v>
      </c>
      <c r="F40" s="6" t="s">
        <v>44</v>
      </c>
    </row>
    <row r="41" spans="2:6" x14ac:dyDescent="0.25">
      <c r="B41" s="3">
        <v>8</v>
      </c>
      <c r="C41" s="4" t="s">
        <v>72</v>
      </c>
      <c r="D41" s="5" t="s">
        <v>73</v>
      </c>
      <c r="E41" s="4">
        <v>2</v>
      </c>
      <c r="F41" s="6" t="s">
        <v>44</v>
      </c>
    </row>
    <row r="42" spans="2:6" x14ac:dyDescent="0.25">
      <c r="B42" s="3"/>
      <c r="C42" s="4"/>
      <c r="D42" s="7" t="s">
        <v>166</v>
      </c>
      <c r="E42" s="4">
        <f>SUM(E34:E41)</f>
        <v>22</v>
      </c>
      <c r="F42" s="6"/>
    </row>
    <row r="43" spans="2:6" x14ac:dyDescent="0.25">
      <c r="B43" s="3" t="s">
        <v>74</v>
      </c>
      <c r="C43" s="4"/>
      <c r="D43" s="5"/>
      <c r="E43" s="4"/>
      <c r="F43" s="6"/>
    </row>
    <row r="44" spans="2:6" x14ac:dyDescent="0.25">
      <c r="B44" s="3">
        <v>1</v>
      </c>
      <c r="C44" s="4" t="s">
        <v>75</v>
      </c>
      <c r="D44" s="5" t="s">
        <v>76</v>
      </c>
      <c r="E44" s="4">
        <v>2</v>
      </c>
      <c r="F44" s="6" t="s">
        <v>44</v>
      </c>
    </row>
    <row r="45" spans="2:6" x14ac:dyDescent="0.25">
      <c r="B45" s="3">
        <v>2</v>
      </c>
      <c r="C45" s="4" t="s">
        <v>77</v>
      </c>
      <c r="D45" s="5" t="s">
        <v>78</v>
      </c>
      <c r="E45" s="4">
        <v>3</v>
      </c>
      <c r="F45" s="6" t="s">
        <v>44</v>
      </c>
    </row>
    <row r="46" spans="2:6" x14ac:dyDescent="0.25">
      <c r="B46" s="3">
        <v>3</v>
      </c>
      <c r="C46" s="4" t="s">
        <v>79</v>
      </c>
      <c r="D46" s="5" t="s">
        <v>80</v>
      </c>
      <c r="E46" s="4">
        <v>3</v>
      </c>
      <c r="F46" s="6" t="s">
        <v>44</v>
      </c>
    </row>
    <row r="47" spans="2:6" x14ac:dyDescent="0.25">
      <c r="B47" s="3">
        <v>4</v>
      </c>
      <c r="C47" s="4" t="s">
        <v>81</v>
      </c>
      <c r="D47" s="5" t="s">
        <v>82</v>
      </c>
      <c r="E47" s="4">
        <v>3</v>
      </c>
      <c r="F47" s="6" t="s">
        <v>44</v>
      </c>
    </row>
    <row r="48" spans="2:6" x14ac:dyDescent="0.25">
      <c r="B48" s="3">
        <v>5</v>
      </c>
      <c r="C48" s="4" t="s">
        <v>83</v>
      </c>
      <c r="D48" s="5" t="s">
        <v>84</v>
      </c>
      <c r="E48" s="4">
        <v>3</v>
      </c>
      <c r="F48" s="6" t="s">
        <v>44</v>
      </c>
    </row>
    <row r="49" spans="2:6" x14ac:dyDescent="0.25">
      <c r="B49" s="3">
        <v>6</v>
      </c>
      <c r="C49" s="4" t="s">
        <v>85</v>
      </c>
      <c r="D49" s="5" t="s">
        <v>86</v>
      </c>
      <c r="E49" s="4">
        <v>2</v>
      </c>
      <c r="F49" s="6" t="s">
        <v>44</v>
      </c>
    </row>
    <row r="50" spans="2:6" x14ac:dyDescent="0.25">
      <c r="B50" s="3">
        <v>7</v>
      </c>
      <c r="C50" s="4" t="s">
        <v>87</v>
      </c>
      <c r="D50" s="5" t="s">
        <v>188</v>
      </c>
      <c r="E50" s="4">
        <v>3</v>
      </c>
      <c r="F50" s="6" t="s">
        <v>44</v>
      </c>
    </row>
    <row r="51" spans="2:6" x14ac:dyDescent="0.25">
      <c r="B51" s="3">
        <v>8</v>
      </c>
      <c r="C51" s="4" t="s">
        <v>88</v>
      </c>
      <c r="D51" s="5" t="s">
        <v>89</v>
      </c>
      <c r="E51" s="4">
        <v>3</v>
      </c>
      <c r="F51" s="6" t="s">
        <v>44</v>
      </c>
    </row>
    <row r="52" spans="2:6" x14ac:dyDescent="0.25">
      <c r="B52" s="3"/>
      <c r="C52" s="4"/>
      <c r="D52" s="7" t="s">
        <v>166</v>
      </c>
      <c r="E52" s="4">
        <f>SUM(E44:E51)</f>
        <v>22</v>
      </c>
      <c r="F52" s="6"/>
    </row>
    <row r="53" spans="2:6" x14ac:dyDescent="0.25">
      <c r="B53" s="3" t="s">
        <v>90</v>
      </c>
      <c r="C53" s="4"/>
      <c r="D53" s="5"/>
      <c r="E53" s="4"/>
      <c r="F53" s="6"/>
    </row>
    <row r="54" spans="2:6" x14ac:dyDescent="0.25">
      <c r="B54" s="3">
        <v>1</v>
      </c>
      <c r="C54" s="4" t="s">
        <v>91</v>
      </c>
      <c r="D54" s="5" t="s">
        <v>92</v>
      </c>
      <c r="E54" s="4">
        <v>3</v>
      </c>
      <c r="F54" s="6" t="s">
        <v>44</v>
      </c>
    </row>
    <row r="55" spans="2:6" x14ac:dyDescent="0.25">
      <c r="B55" s="3">
        <v>2</v>
      </c>
      <c r="C55" s="4" t="s">
        <v>93</v>
      </c>
      <c r="D55" s="5" t="s">
        <v>94</v>
      </c>
      <c r="E55" s="4">
        <v>3</v>
      </c>
      <c r="F55" s="6" t="s">
        <v>44</v>
      </c>
    </row>
    <row r="56" spans="2:6" x14ac:dyDescent="0.25">
      <c r="B56" s="3">
        <v>3</v>
      </c>
      <c r="C56" s="4" t="s">
        <v>95</v>
      </c>
      <c r="D56" s="5" t="s">
        <v>96</v>
      </c>
      <c r="E56" s="4">
        <v>3</v>
      </c>
      <c r="F56" s="6" t="s">
        <v>44</v>
      </c>
    </row>
    <row r="57" spans="2:6" x14ac:dyDescent="0.25">
      <c r="B57" s="3">
        <v>4</v>
      </c>
      <c r="C57" s="4" t="s">
        <v>97</v>
      </c>
      <c r="D57" s="5" t="s">
        <v>98</v>
      </c>
      <c r="E57" s="4">
        <v>3</v>
      </c>
      <c r="F57" s="6" t="s">
        <v>44</v>
      </c>
    </row>
    <row r="58" spans="2:6" x14ac:dyDescent="0.25">
      <c r="B58" s="3">
        <v>5</v>
      </c>
      <c r="C58" s="4" t="s">
        <v>99</v>
      </c>
      <c r="D58" s="5" t="s">
        <v>100</v>
      </c>
      <c r="E58" s="4">
        <v>3</v>
      </c>
      <c r="F58" s="6" t="s">
        <v>44</v>
      </c>
    </row>
    <row r="59" spans="2:6" x14ac:dyDescent="0.25">
      <c r="B59" s="3">
        <v>6</v>
      </c>
      <c r="C59" s="4" t="s">
        <v>101</v>
      </c>
      <c r="D59" s="5" t="s">
        <v>102</v>
      </c>
      <c r="E59" s="4">
        <v>3</v>
      </c>
      <c r="F59" s="6" t="s">
        <v>21</v>
      </c>
    </row>
    <row r="60" spans="2:6" x14ac:dyDescent="0.25">
      <c r="B60" s="3">
        <v>7</v>
      </c>
      <c r="C60" s="4"/>
      <c r="D60" s="5" t="s">
        <v>103</v>
      </c>
      <c r="E60" s="4"/>
      <c r="F60" s="6"/>
    </row>
    <row r="61" spans="2:6" ht="30" x14ac:dyDescent="0.25">
      <c r="B61" s="3"/>
      <c r="C61" s="8"/>
      <c r="D61" s="9" t="s">
        <v>104</v>
      </c>
      <c r="E61" s="4"/>
      <c r="F61" s="6"/>
    </row>
    <row r="62" spans="2:6" x14ac:dyDescent="0.25">
      <c r="B62" s="3"/>
      <c r="C62" s="4"/>
      <c r="D62" s="5" t="s">
        <v>169</v>
      </c>
      <c r="E62" s="5"/>
      <c r="F62" s="10"/>
    </row>
    <row r="63" spans="2:6" x14ac:dyDescent="0.25">
      <c r="B63" s="3"/>
      <c r="C63" s="4"/>
      <c r="D63" s="5" t="s">
        <v>170</v>
      </c>
      <c r="E63" s="5"/>
      <c r="F63" s="10"/>
    </row>
    <row r="64" spans="2:6" x14ac:dyDescent="0.25">
      <c r="B64" s="3"/>
      <c r="C64" s="4"/>
      <c r="D64" s="5" t="s">
        <v>163</v>
      </c>
      <c r="E64" s="5"/>
      <c r="F64" s="10"/>
    </row>
    <row r="65" spans="2:6" x14ac:dyDescent="0.25">
      <c r="B65" s="3"/>
      <c r="C65" s="4"/>
      <c r="D65" s="5" t="s">
        <v>164</v>
      </c>
      <c r="E65" s="5"/>
      <c r="F65" s="10"/>
    </row>
    <row r="66" spans="2:6" x14ac:dyDescent="0.25">
      <c r="B66" s="3"/>
      <c r="C66" s="4"/>
      <c r="D66" s="5" t="s">
        <v>173</v>
      </c>
      <c r="E66" s="5"/>
      <c r="F66" s="10"/>
    </row>
    <row r="67" spans="2:6" x14ac:dyDescent="0.25">
      <c r="B67" s="3"/>
      <c r="C67" s="4"/>
      <c r="D67" s="5" t="s">
        <v>174</v>
      </c>
      <c r="E67" s="5"/>
      <c r="F67" s="10"/>
    </row>
    <row r="68" spans="2:6" x14ac:dyDescent="0.25">
      <c r="B68" s="3"/>
      <c r="C68" s="4"/>
      <c r="D68" s="5" t="s">
        <v>171</v>
      </c>
      <c r="E68" s="5"/>
      <c r="F68" s="10"/>
    </row>
    <row r="69" spans="2:6" x14ac:dyDescent="0.25">
      <c r="B69" s="3"/>
      <c r="C69" s="4"/>
      <c r="D69" s="5" t="s">
        <v>172</v>
      </c>
      <c r="E69" s="5"/>
      <c r="F69" s="10"/>
    </row>
    <row r="70" spans="2:6" x14ac:dyDescent="0.25">
      <c r="B70" s="3" t="s">
        <v>175</v>
      </c>
      <c r="C70" s="11" t="s">
        <v>105</v>
      </c>
      <c r="D70" s="12" t="s">
        <v>106</v>
      </c>
      <c r="E70" s="385">
        <v>3</v>
      </c>
      <c r="F70" s="6" t="s">
        <v>107</v>
      </c>
    </row>
    <row r="71" spans="2:6" x14ac:dyDescent="0.25">
      <c r="B71" s="3" t="s">
        <v>176</v>
      </c>
      <c r="C71" s="13" t="s">
        <v>108</v>
      </c>
      <c r="D71" s="14" t="s">
        <v>109</v>
      </c>
      <c r="E71" s="385"/>
      <c r="F71" s="6" t="s">
        <v>107</v>
      </c>
    </row>
    <row r="72" spans="2:6" x14ac:dyDescent="0.25">
      <c r="B72" s="3" t="s">
        <v>177</v>
      </c>
      <c r="C72" s="15" t="s">
        <v>110</v>
      </c>
      <c r="D72" s="16" t="s">
        <v>168</v>
      </c>
      <c r="E72" s="385"/>
      <c r="F72" s="6" t="s">
        <v>107</v>
      </c>
    </row>
    <row r="73" spans="2:6" x14ac:dyDescent="0.25">
      <c r="B73" s="3" t="s">
        <v>178</v>
      </c>
      <c r="C73" s="17" t="s">
        <v>111</v>
      </c>
      <c r="D73" s="18" t="s">
        <v>112</v>
      </c>
      <c r="E73" s="385"/>
      <c r="F73" s="6" t="s">
        <v>107</v>
      </c>
    </row>
    <row r="74" spans="2:6" x14ac:dyDescent="0.25">
      <c r="B74" s="3" t="s">
        <v>179</v>
      </c>
      <c r="C74" s="19" t="s">
        <v>113</v>
      </c>
      <c r="D74" s="20" t="s">
        <v>114</v>
      </c>
      <c r="E74" s="385"/>
      <c r="F74" s="6" t="s">
        <v>107</v>
      </c>
    </row>
    <row r="75" spans="2:6" x14ac:dyDescent="0.25">
      <c r="B75" s="3" t="s">
        <v>180</v>
      </c>
      <c r="C75" s="21" t="s">
        <v>117</v>
      </c>
      <c r="D75" s="22" t="s">
        <v>118</v>
      </c>
      <c r="E75" s="385"/>
      <c r="F75" s="6" t="s">
        <v>107</v>
      </c>
    </row>
    <row r="76" spans="2:6" x14ac:dyDescent="0.25">
      <c r="B76" s="3" t="s">
        <v>181</v>
      </c>
      <c r="C76" s="23" t="s">
        <v>115</v>
      </c>
      <c r="D76" s="24" t="s">
        <v>116</v>
      </c>
      <c r="E76" s="385"/>
      <c r="F76" s="6"/>
    </row>
    <row r="77" spans="2:6" x14ac:dyDescent="0.25">
      <c r="B77" s="3"/>
      <c r="C77" s="4"/>
      <c r="D77" s="5" t="s">
        <v>119</v>
      </c>
      <c r="E77" s="4"/>
      <c r="F77" s="6"/>
    </row>
    <row r="78" spans="2:6" x14ac:dyDescent="0.25">
      <c r="B78" s="3"/>
      <c r="C78" s="4"/>
      <c r="D78" s="7" t="s">
        <v>166</v>
      </c>
      <c r="E78" s="4">
        <f>SUM(E54:E77)</f>
        <v>21</v>
      </c>
      <c r="F78" s="6"/>
    </row>
    <row r="79" spans="2:6" x14ac:dyDescent="0.25">
      <c r="B79" s="3" t="s">
        <v>120</v>
      </c>
      <c r="C79" s="4"/>
      <c r="D79" s="5"/>
      <c r="E79" s="4"/>
      <c r="F79" s="6"/>
    </row>
    <row r="80" spans="2:6" x14ac:dyDescent="0.25">
      <c r="B80" s="3">
        <v>1</v>
      </c>
      <c r="C80" s="4" t="s">
        <v>121</v>
      </c>
      <c r="D80" s="5" t="s">
        <v>122</v>
      </c>
      <c r="E80" s="4">
        <v>3</v>
      </c>
      <c r="F80" s="6" t="s">
        <v>44</v>
      </c>
    </row>
    <row r="81" spans="2:6" x14ac:dyDescent="0.25">
      <c r="B81" s="3">
        <v>2</v>
      </c>
      <c r="C81" s="4" t="s">
        <v>123</v>
      </c>
      <c r="D81" s="5" t="s">
        <v>124</v>
      </c>
      <c r="E81" s="4">
        <v>3</v>
      </c>
      <c r="F81" s="6" t="s">
        <v>16</v>
      </c>
    </row>
    <row r="82" spans="2:6" x14ac:dyDescent="0.25">
      <c r="B82" s="3">
        <v>3</v>
      </c>
      <c r="C82" s="4" t="s">
        <v>125</v>
      </c>
      <c r="D82" s="5" t="s">
        <v>126</v>
      </c>
      <c r="E82" s="4">
        <v>3</v>
      </c>
      <c r="F82" s="6" t="s">
        <v>44</v>
      </c>
    </row>
    <row r="83" spans="2:6" x14ac:dyDescent="0.25">
      <c r="B83" s="3">
        <v>4</v>
      </c>
      <c r="C83" s="4" t="s">
        <v>127</v>
      </c>
      <c r="D83" s="5" t="s">
        <v>128</v>
      </c>
      <c r="E83" s="4">
        <v>3</v>
      </c>
      <c r="F83" s="6" t="s">
        <v>9</v>
      </c>
    </row>
    <row r="84" spans="2:6" x14ac:dyDescent="0.25">
      <c r="B84" s="3" t="s">
        <v>130</v>
      </c>
      <c r="C84" s="4"/>
      <c r="D84" s="5" t="s">
        <v>129</v>
      </c>
      <c r="E84" s="4"/>
      <c r="F84" s="6"/>
    </row>
    <row r="85" spans="2:6" x14ac:dyDescent="0.25">
      <c r="B85" s="378" t="s">
        <v>175</v>
      </c>
      <c r="C85" s="11" t="s">
        <v>131</v>
      </c>
      <c r="D85" s="12" t="s">
        <v>132</v>
      </c>
      <c r="E85" s="4">
        <v>2</v>
      </c>
      <c r="F85" s="6" t="s">
        <v>107</v>
      </c>
    </row>
    <row r="86" spans="2:6" x14ac:dyDescent="0.25">
      <c r="B86" s="378"/>
      <c r="C86" s="11" t="s">
        <v>133</v>
      </c>
      <c r="D86" s="12" t="s">
        <v>134</v>
      </c>
      <c r="E86" s="4">
        <v>3</v>
      </c>
      <c r="F86" s="6" t="s">
        <v>107</v>
      </c>
    </row>
    <row r="87" spans="2:6" x14ac:dyDescent="0.25">
      <c r="B87" s="378" t="s">
        <v>176</v>
      </c>
      <c r="C87" s="13" t="s">
        <v>135</v>
      </c>
      <c r="D87" s="14" t="s">
        <v>136</v>
      </c>
      <c r="E87" s="4">
        <v>2</v>
      </c>
      <c r="F87" s="6" t="s">
        <v>107</v>
      </c>
    </row>
    <row r="88" spans="2:6" x14ac:dyDescent="0.25">
      <c r="B88" s="378"/>
      <c r="C88" s="13" t="s">
        <v>137</v>
      </c>
      <c r="D88" s="14" t="s">
        <v>138</v>
      </c>
      <c r="E88" s="4">
        <v>3</v>
      </c>
      <c r="F88" s="6" t="s">
        <v>107</v>
      </c>
    </row>
    <row r="89" spans="2:6" x14ac:dyDescent="0.25">
      <c r="B89" s="378" t="s">
        <v>186</v>
      </c>
      <c r="C89" s="15" t="s">
        <v>139</v>
      </c>
      <c r="D89" s="16" t="s">
        <v>140</v>
      </c>
      <c r="E89" s="4">
        <v>2</v>
      </c>
      <c r="F89" s="6" t="s">
        <v>107</v>
      </c>
    </row>
    <row r="90" spans="2:6" x14ac:dyDescent="0.25">
      <c r="B90" s="378"/>
      <c r="C90" s="15" t="s">
        <v>141</v>
      </c>
      <c r="D90" s="16" t="s">
        <v>142</v>
      </c>
      <c r="E90" s="4">
        <v>3</v>
      </c>
      <c r="F90" s="6" t="s">
        <v>107</v>
      </c>
    </row>
    <row r="91" spans="2:6" x14ac:dyDescent="0.25">
      <c r="B91" s="378" t="s">
        <v>187</v>
      </c>
      <c r="C91" s="25" t="s">
        <v>143</v>
      </c>
      <c r="D91" s="26" t="s">
        <v>144</v>
      </c>
      <c r="E91" s="4">
        <v>2</v>
      </c>
      <c r="F91" s="6" t="s">
        <v>107</v>
      </c>
    </row>
    <row r="92" spans="2:6" x14ac:dyDescent="0.25">
      <c r="B92" s="378"/>
      <c r="C92" s="25" t="s">
        <v>145</v>
      </c>
      <c r="D92" s="26" t="s">
        <v>146</v>
      </c>
      <c r="E92" s="4">
        <v>3</v>
      </c>
      <c r="F92" s="6" t="s">
        <v>107</v>
      </c>
    </row>
    <row r="93" spans="2:6" x14ac:dyDescent="0.25">
      <c r="B93" s="378" t="s">
        <v>178</v>
      </c>
      <c r="C93" s="17" t="s">
        <v>147</v>
      </c>
      <c r="D93" s="18" t="s">
        <v>148</v>
      </c>
      <c r="E93" s="4">
        <v>2</v>
      </c>
      <c r="F93" s="6" t="s">
        <v>107</v>
      </c>
    </row>
    <row r="94" spans="2:6" x14ac:dyDescent="0.25">
      <c r="B94" s="378"/>
      <c r="C94" s="17" t="s">
        <v>149</v>
      </c>
      <c r="D94" s="18" t="s">
        <v>150</v>
      </c>
      <c r="E94" s="4">
        <v>3</v>
      </c>
      <c r="F94" s="6" t="s">
        <v>107</v>
      </c>
    </row>
    <row r="95" spans="2:6" x14ac:dyDescent="0.25">
      <c r="B95" s="378" t="s">
        <v>179</v>
      </c>
      <c r="C95" s="19" t="s">
        <v>151</v>
      </c>
      <c r="D95" s="20" t="s">
        <v>152</v>
      </c>
      <c r="E95" s="4">
        <v>3</v>
      </c>
      <c r="F95" s="6" t="s">
        <v>107</v>
      </c>
    </row>
    <row r="96" spans="2:6" x14ac:dyDescent="0.25">
      <c r="B96" s="378"/>
      <c r="C96" s="19" t="s">
        <v>153</v>
      </c>
      <c r="D96" s="20" t="s">
        <v>154</v>
      </c>
      <c r="E96" s="4">
        <v>2</v>
      </c>
      <c r="F96" s="6" t="s">
        <v>107</v>
      </c>
    </row>
    <row r="97" spans="2:6" x14ac:dyDescent="0.25">
      <c r="B97" s="378" t="s">
        <v>180</v>
      </c>
      <c r="C97" s="21" t="s">
        <v>155</v>
      </c>
      <c r="D97" s="22" t="s">
        <v>156</v>
      </c>
      <c r="E97" s="4">
        <v>2</v>
      </c>
      <c r="F97" s="6" t="s">
        <v>107</v>
      </c>
    </row>
    <row r="98" spans="2:6" x14ac:dyDescent="0.25">
      <c r="B98" s="378"/>
      <c r="C98" s="21" t="s">
        <v>157</v>
      </c>
      <c r="D98" s="22" t="s">
        <v>158</v>
      </c>
      <c r="E98" s="4">
        <v>3</v>
      </c>
      <c r="F98" s="6" t="s">
        <v>107</v>
      </c>
    </row>
    <row r="99" spans="2:6" x14ac:dyDescent="0.25">
      <c r="B99" s="378" t="s">
        <v>181</v>
      </c>
      <c r="C99" s="23" t="s">
        <v>159</v>
      </c>
      <c r="D99" s="24" t="s">
        <v>160</v>
      </c>
      <c r="E99" s="4">
        <v>3</v>
      </c>
      <c r="F99" s="6" t="s">
        <v>107</v>
      </c>
    </row>
    <row r="100" spans="2:6" x14ac:dyDescent="0.25">
      <c r="B100" s="378"/>
      <c r="C100" s="23" t="s">
        <v>143</v>
      </c>
      <c r="D100" s="24" t="s">
        <v>144</v>
      </c>
      <c r="E100" s="4">
        <v>2</v>
      </c>
      <c r="F100" s="6" t="s">
        <v>107</v>
      </c>
    </row>
    <row r="101" spans="2:6" x14ac:dyDescent="0.25">
      <c r="B101" s="3"/>
      <c r="C101" s="4"/>
      <c r="D101" s="7" t="s">
        <v>166</v>
      </c>
      <c r="E101" s="4">
        <f>E85+E86</f>
        <v>5</v>
      </c>
      <c r="F101" s="6"/>
    </row>
    <row r="102" spans="2:6" x14ac:dyDescent="0.25">
      <c r="B102" s="3" t="s">
        <v>183</v>
      </c>
      <c r="C102" s="4"/>
      <c r="D102" s="5"/>
      <c r="E102" s="4"/>
      <c r="F102" s="6"/>
    </row>
    <row r="103" spans="2:6" x14ac:dyDescent="0.25">
      <c r="B103" s="3">
        <v>1</v>
      </c>
      <c r="C103" s="4"/>
      <c r="D103" s="5" t="s">
        <v>161</v>
      </c>
      <c r="E103" s="4">
        <v>6</v>
      </c>
      <c r="F103" s="6" t="s">
        <v>107</v>
      </c>
    </row>
    <row r="104" spans="2:6" x14ac:dyDescent="0.25">
      <c r="B104" s="3"/>
      <c r="C104" s="4"/>
      <c r="D104" s="5" t="s">
        <v>162</v>
      </c>
      <c r="E104" s="4">
        <v>6</v>
      </c>
      <c r="F104" s="6" t="s">
        <v>107</v>
      </c>
    </row>
    <row r="105" spans="2:6" x14ac:dyDescent="0.25">
      <c r="B105" s="3"/>
      <c r="C105" s="4"/>
      <c r="D105" s="27"/>
      <c r="E105" s="4"/>
      <c r="F105" s="6"/>
    </row>
    <row r="106" spans="2:6" x14ac:dyDescent="0.25">
      <c r="B106" s="3"/>
      <c r="C106" s="4"/>
      <c r="D106" s="7" t="s">
        <v>166</v>
      </c>
      <c r="E106" s="4">
        <v>6</v>
      </c>
      <c r="F106" s="6"/>
    </row>
    <row r="107" spans="2:6" x14ac:dyDescent="0.25">
      <c r="B107" s="28"/>
      <c r="C107" s="21"/>
      <c r="D107" s="2" t="s">
        <v>167</v>
      </c>
      <c r="E107" s="21">
        <f>E12+E22+E32+E42+E52+E78+E80+E81+E82+E83+E85+E86+E103</f>
        <v>146</v>
      </c>
      <c r="F107" s="29"/>
    </row>
    <row r="108" spans="2:6" ht="15.75" thickBot="1" x14ac:dyDescent="0.3">
      <c r="B108" s="382" t="s">
        <v>165</v>
      </c>
      <c r="C108" s="383"/>
      <c r="D108" s="383"/>
      <c r="E108" s="383"/>
      <c r="F108" s="384"/>
    </row>
  </sheetData>
  <mergeCells count="11">
    <mergeCell ref="B95:B96"/>
    <mergeCell ref="B97:B98"/>
    <mergeCell ref="B99:B100"/>
    <mergeCell ref="B2:F2"/>
    <mergeCell ref="B108:F108"/>
    <mergeCell ref="E70:E76"/>
    <mergeCell ref="B85:B86"/>
    <mergeCell ref="B87:B88"/>
    <mergeCell ref="B89:B90"/>
    <mergeCell ref="B91:B92"/>
    <mergeCell ref="B93:B94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"/>
  <sheetViews>
    <sheetView showGridLines="0" topLeftCell="A22" zoomScale="80" zoomScaleNormal="80" workbookViewId="0">
      <selection activeCell="N41" sqref="N41"/>
    </sheetView>
  </sheetViews>
  <sheetFormatPr defaultRowHeight="12.75" x14ac:dyDescent="0.2"/>
  <cols>
    <col min="1" max="1" width="3.42578125" style="37" customWidth="1"/>
    <col min="2" max="2" width="16.5703125" style="37" customWidth="1"/>
    <col min="3" max="3" width="4.7109375" style="37" customWidth="1"/>
    <col min="4" max="4" width="4.5703125" style="37" customWidth="1"/>
    <col min="5" max="5" width="16.85546875" style="37" customWidth="1"/>
    <col min="6" max="6" width="4.7109375" style="37" customWidth="1"/>
    <col min="7" max="7" width="5.28515625" style="37" customWidth="1"/>
    <col min="8" max="8" width="16.7109375" style="37" customWidth="1"/>
    <col min="9" max="9" width="4.7109375" style="37" customWidth="1"/>
    <col min="10" max="10" width="5.42578125" style="37" customWidth="1"/>
    <col min="11" max="11" width="16.7109375" style="37" customWidth="1"/>
    <col min="12" max="13" width="4.7109375" style="37" customWidth="1"/>
    <col min="14" max="14" width="16.7109375" style="37" customWidth="1"/>
    <col min="15" max="15" width="4.7109375" style="37" customWidth="1"/>
    <col min="16" max="16" width="2.85546875" style="37" customWidth="1"/>
    <col min="17" max="17" width="4.28515625" style="37" customWidth="1"/>
    <col min="18" max="18" width="17.140625" style="130" customWidth="1"/>
    <col min="19" max="19" width="4.7109375" style="37" customWidth="1"/>
    <col min="20" max="20" width="3" style="37" customWidth="1"/>
    <col min="21" max="21" width="2.42578125" style="37" customWidth="1"/>
    <col min="22" max="22" width="2.28515625" style="37" customWidth="1"/>
    <col min="23" max="23" width="20.7109375" style="130" customWidth="1"/>
    <col min="24" max="24" width="4.7109375" style="133" customWidth="1"/>
    <col min="25" max="25" width="2.85546875" style="37" customWidth="1"/>
    <col min="26" max="26" width="33.28515625" style="37" customWidth="1"/>
    <col min="27" max="27" width="4.7109375" style="37" customWidth="1"/>
    <col min="28" max="256" width="9.140625" style="37"/>
    <col min="257" max="257" width="3.42578125" style="37" customWidth="1"/>
    <col min="258" max="258" width="16.5703125" style="37" customWidth="1"/>
    <col min="259" max="259" width="4.7109375" style="37" customWidth="1"/>
    <col min="260" max="260" width="4.5703125" style="37" customWidth="1"/>
    <col min="261" max="261" width="16.85546875" style="37" customWidth="1"/>
    <col min="262" max="262" width="4.7109375" style="37" customWidth="1"/>
    <col min="263" max="263" width="5.28515625" style="37" customWidth="1"/>
    <col min="264" max="264" width="16.7109375" style="37" customWidth="1"/>
    <col min="265" max="265" width="4.7109375" style="37" customWidth="1"/>
    <col min="266" max="266" width="5.42578125" style="37" customWidth="1"/>
    <col min="267" max="267" width="16.7109375" style="37" customWidth="1"/>
    <col min="268" max="269" width="4.7109375" style="37" customWidth="1"/>
    <col min="270" max="270" width="16.7109375" style="37" customWidth="1"/>
    <col min="271" max="271" width="4.7109375" style="37" customWidth="1"/>
    <col min="272" max="272" width="2.85546875" style="37" customWidth="1"/>
    <col min="273" max="273" width="4.28515625" style="37" customWidth="1"/>
    <col min="274" max="274" width="17.140625" style="37" customWidth="1"/>
    <col min="275" max="275" width="4.7109375" style="37" customWidth="1"/>
    <col min="276" max="276" width="3" style="37" customWidth="1"/>
    <col min="277" max="277" width="2.42578125" style="37" customWidth="1"/>
    <col min="278" max="278" width="2.28515625" style="37" customWidth="1"/>
    <col min="279" max="279" width="20.7109375" style="37" customWidth="1"/>
    <col min="280" max="280" width="4.7109375" style="37" customWidth="1"/>
    <col min="281" max="281" width="2.85546875" style="37" customWidth="1"/>
    <col min="282" max="282" width="33.28515625" style="37" customWidth="1"/>
    <col min="283" max="283" width="4.7109375" style="37" customWidth="1"/>
    <col min="284" max="512" width="9.140625" style="37"/>
    <col min="513" max="513" width="3.42578125" style="37" customWidth="1"/>
    <col min="514" max="514" width="16.5703125" style="37" customWidth="1"/>
    <col min="515" max="515" width="4.7109375" style="37" customWidth="1"/>
    <col min="516" max="516" width="4.5703125" style="37" customWidth="1"/>
    <col min="517" max="517" width="16.85546875" style="37" customWidth="1"/>
    <col min="518" max="518" width="4.7109375" style="37" customWidth="1"/>
    <col min="519" max="519" width="5.28515625" style="37" customWidth="1"/>
    <col min="520" max="520" width="16.7109375" style="37" customWidth="1"/>
    <col min="521" max="521" width="4.7109375" style="37" customWidth="1"/>
    <col min="522" max="522" width="5.42578125" style="37" customWidth="1"/>
    <col min="523" max="523" width="16.7109375" style="37" customWidth="1"/>
    <col min="524" max="525" width="4.7109375" style="37" customWidth="1"/>
    <col min="526" max="526" width="16.7109375" style="37" customWidth="1"/>
    <col min="527" max="527" width="4.7109375" style="37" customWidth="1"/>
    <col min="528" max="528" width="2.85546875" style="37" customWidth="1"/>
    <col min="529" max="529" width="4.28515625" style="37" customWidth="1"/>
    <col min="530" max="530" width="17.140625" style="37" customWidth="1"/>
    <col min="531" max="531" width="4.7109375" style="37" customWidth="1"/>
    <col min="532" max="532" width="3" style="37" customWidth="1"/>
    <col min="533" max="533" width="2.42578125" style="37" customWidth="1"/>
    <col min="534" max="534" width="2.28515625" style="37" customWidth="1"/>
    <col min="535" max="535" width="20.7109375" style="37" customWidth="1"/>
    <col min="536" max="536" width="4.7109375" style="37" customWidth="1"/>
    <col min="537" max="537" width="2.85546875" style="37" customWidth="1"/>
    <col min="538" max="538" width="33.28515625" style="37" customWidth="1"/>
    <col min="539" max="539" width="4.7109375" style="37" customWidth="1"/>
    <col min="540" max="768" width="9.140625" style="37"/>
    <col min="769" max="769" width="3.42578125" style="37" customWidth="1"/>
    <col min="770" max="770" width="16.5703125" style="37" customWidth="1"/>
    <col min="771" max="771" width="4.7109375" style="37" customWidth="1"/>
    <col min="772" max="772" width="4.5703125" style="37" customWidth="1"/>
    <col min="773" max="773" width="16.85546875" style="37" customWidth="1"/>
    <col min="774" max="774" width="4.7109375" style="37" customWidth="1"/>
    <col min="775" max="775" width="5.28515625" style="37" customWidth="1"/>
    <col min="776" max="776" width="16.7109375" style="37" customWidth="1"/>
    <col min="777" max="777" width="4.7109375" style="37" customWidth="1"/>
    <col min="778" max="778" width="5.42578125" style="37" customWidth="1"/>
    <col min="779" max="779" width="16.7109375" style="37" customWidth="1"/>
    <col min="780" max="781" width="4.7109375" style="37" customWidth="1"/>
    <col min="782" max="782" width="16.7109375" style="37" customWidth="1"/>
    <col min="783" max="783" width="4.7109375" style="37" customWidth="1"/>
    <col min="784" max="784" width="2.85546875" style="37" customWidth="1"/>
    <col min="785" max="785" width="4.28515625" style="37" customWidth="1"/>
    <col min="786" max="786" width="17.140625" style="37" customWidth="1"/>
    <col min="787" max="787" width="4.7109375" style="37" customWidth="1"/>
    <col min="788" max="788" width="3" style="37" customWidth="1"/>
    <col min="789" max="789" width="2.42578125" style="37" customWidth="1"/>
    <col min="790" max="790" width="2.28515625" style="37" customWidth="1"/>
    <col min="791" max="791" width="20.7109375" style="37" customWidth="1"/>
    <col min="792" max="792" width="4.7109375" style="37" customWidth="1"/>
    <col min="793" max="793" width="2.85546875" style="37" customWidth="1"/>
    <col min="794" max="794" width="33.28515625" style="37" customWidth="1"/>
    <col min="795" max="795" width="4.7109375" style="37" customWidth="1"/>
    <col min="796" max="1024" width="9.140625" style="37"/>
    <col min="1025" max="1025" width="3.42578125" style="37" customWidth="1"/>
    <col min="1026" max="1026" width="16.5703125" style="37" customWidth="1"/>
    <col min="1027" max="1027" width="4.7109375" style="37" customWidth="1"/>
    <col min="1028" max="1028" width="4.5703125" style="37" customWidth="1"/>
    <col min="1029" max="1029" width="16.85546875" style="37" customWidth="1"/>
    <col min="1030" max="1030" width="4.7109375" style="37" customWidth="1"/>
    <col min="1031" max="1031" width="5.28515625" style="37" customWidth="1"/>
    <col min="1032" max="1032" width="16.7109375" style="37" customWidth="1"/>
    <col min="1033" max="1033" width="4.7109375" style="37" customWidth="1"/>
    <col min="1034" max="1034" width="5.42578125" style="37" customWidth="1"/>
    <col min="1035" max="1035" width="16.7109375" style="37" customWidth="1"/>
    <col min="1036" max="1037" width="4.7109375" style="37" customWidth="1"/>
    <col min="1038" max="1038" width="16.7109375" style="37" customWidth="1"/>
    <col min="1039" max="1039" width="4.7109375" style="37" customWidth="1"/>
    <col min="1040" max="1040" width="2.85546875" style="37" customWidth="1"/>
    <col min="1041" max="1041" width="4.28515625" style="37" customWidth="1"/>
    <col min="1042" max="1042" width="17.140625" style="37" customWidth="1"/>
    <col min="1043" max="1043" width="4.7109375" style="37" customWidth="1"/>
    <col min="1044" max="1044" width="3" style="37" customWidth="1"/>
    <col min="1045" max="1045" width="2.42578125" style="37" customWidth="1"/>
    <col min="1046" max="1046" width="2.28515625" style="37" customWidth="1"/>
    <col min="1047" max="1047" width="20.7109375" style="37" customWidth="1"/>
    <col min="1048" max="1048" width="4.7109375" style="37" customWidth="1"/>
    <col min="1049" max="1049" width="2.85546875" style="37" customWidth="1"/>
    <col min="1050" max="1050" width="33.28515625" style="37" customWidth="1"/>
    <col min="1051" max="1051" width="4.7109375" style="37" customWidth="1"/>
    <col min="1052" max="1280" width="9.140625" style="37"/>
    <col min="1281" max="1281" width="3.42578125" style="37" customWidth="1"/>
    <col min="1282" max="1282" width="16.5703125" style="37" customWidth="1"/>
    <col min="1283" max="1283" width="4.7109375" style="37" customWidth="1"/>
    <col min="1284" max="1284" width="4.5703125" style="37" customWidth="1"/>
    <col min="1285" max="1285" width="16.85546875" style="37" customWidth="1"/>
    <col min="1286" max="1286" width="4.7109375" style="37" customWidth="1"/>
    <col min="1287" max="1287" width="5.28515625" style="37" customWidth="1"/>
    <col min="1288" max="1288" width="16.7109375" style="37" customWidth="1"/>
    <col min="1289" max="1289" width="4.7109375" style="37" customWidth="1"/>
    <col min="1290" max="1290" width="5.42578125" style="37" customWidth="1"/>
    <col min="1291" max="1291" width="16.7109375" style="37" customWidth="1"/>
    <col min="1292" max="1293" width="4.7109375" style="37" customWidth="1"/>
    <col min="1294" max="1294" width="16.7109375" style="37" customWidth="1"/>
    <col min="1295" max="1295" width="4.7109375" style="37" customWidth="1"/>
    <col min="1296" max="1296" width="2.85546875" style="37" customWidth="1"/>
    <col min="1297" max="1297" width="4.28515625" style="37" customWidth="1"/>
    <col min="1298" max="1298" width="17.140625" style="37" customWidth="1"/>
    <col min="1299" max="1299" width="4.7109375" style="37" customWidth="1"/>
    <col min="1300" max="1300" width="3" style="37" customWidth="1"/>
    <col min="1301" max="1301" width="2.42578125" style="37" customWidth="1"/>
    <col min="1302" max="1302" width="2.28515625" style="37" customWidth="1"/>
    <col min="1303" max="1303" width="20.7109375" style="37" customWidth="1"/>
    <col min="1304" max="1304" width="4.7109375" style="37" customWidth="1"/>
    <col min="1305" max="1305" width="2.85546875" style="37" customWidth="1"/>
    <col min="1306" max="1306" width="33.28515625" style="37" customWidth="1"/>
    <col min="1307" max="1307" width="4.7109375" style="37" customWidth="1"/>
    <col min="1308" max="1536" width="9.140625" style="37"/>
    <col min="1537" max="1537" width="3.42578125" style="37" customWidth="1"/>
    <col min="1538" max="1538" width="16.5703125" style="37" customWidth="1"/>
    <col min="1539" max="1539" width="4.7109375" style="37" customWidth="1"/>
    <col min="1540" max="1540" width="4.5703125" style="37" customWidth="1"/>
    <col min="1541" max="1541" width="16.85546875" style="37" customWidth="1"/>
    <col min="1542" max="1542" width="4.7109375" style="37" customWidth="1"/>
    <col min="1543" max="1543" width="5.28515625" style="37" customWidth="1"/>
    <col min="1544" max="1544" width="16.7109375" style="37" customWidth="1"/>
    <col min="1545" max="1545" width="4.7109375" style="37" customWidth="1"/>
    <col min="1546" max="1546" width="5.42578125" style="37" customWidth="1"/>
    <col min="1547" max="1547" width="16.7109375" style="37" customWidth="1"/>
    <col min="1548" max="1549" width="4.7109375" style="37" customWidth="1"/>
    <col min="1550" max="1550" width="16.7109375" style="37" customWidth="1"/>
    <col min="1551" max="1551" width="4.7109375" style="37" customWidth="1"/>
    <col min="1552" max="1552" width="2.85546875" style="37" customWidth="1"/>
    <col min="1553" max="1553" width="4.28515625" style="37" customWidth="1"/>
    <col min="1554" max="1554" width="17.140625" style="37" customWidth="1"/>
    <col min="1555" max="1555" width="4.7109375" style="37" customWidth="1"/>
    <col min="1556" max="1556" width="3" style="37" customWidth="1"/>
    <col min="1557" max="1557" width="2.42578125" style="37" customWidth="1"/>
    <col min="1558" max="1558" width="2.28515625" style="37" customWidth="1"/>
    <col min="1559" max="1559" width="20.7109375" style="37" customWidth="1"/>
    <col min="1560" max="1560" width="4.7109375" style="37" customWidth="1"/>
    <col min="1561" max="1561" width="2.85546875" style="37" customWidth="1"/>
    <col min="1562" max="1562" width="33.28515625" style="37" customWidth="1"/>
    <col min="1563" max="1563" width="4.7109375" style="37" customWidth="1"/>
    <col min="1564" max="1792" width="9.140625" style="37"/>
    <col min="1793" max="1793" width="3.42578125" style="37" customWidth="1"/>
    <col min="1794" max="1794" width="16.5703125" style="37" customWidth="1"/>
    <col min="1795" max="1795" width="4.7109375" style="37" customWidth="1"/>
    <col min="1796" max="1796" width="4.5703125" style="37" customWidth="1"/>
    <col min="1797" max="1797" width="16.85546875" style="37" customWidth="1"/>
    <col min="1798" max="1798" width="4.7109375" style="37" customWidth="1"/>
    <col min="1799" max="1799" width="5.28515625" style="37" customWidth="1"/>
    <col min="1800" max="1800" width="16.7109375" style="37" customWidth="1"/>
    <col min="1801" max="1801" width="4.7109375" style="37" customWidth="1"/>
    <col min="1802" max="1802" width="5.42578125" style="37" customWidth="1"/>
    <col min="1803" max="1803" width="16.7109375" style="37" customWidth="1"/>
    <col min="1804" max="1805" width="4.7109375" style="37" customWidth="1"/>
    <col min="1806" max="1806" width="16.7109375" style="37" customWidth="1"/>
    <col min="1807" max="1807" width="4.7109375" style="37" customWidth="1"/>
    <col min="1808" max="1808" width="2.85546875" style="37" customWidth="1"/>
    <col min="1809" max="1809" width="4.28515625" style="37" customWidth="1"/>
    <col min="1810" max="1810" width="17.140625" style="37" customWidth="1"/>
    <col min="1811" max="1811" width="4.7109375" style="37" customWidth="1"/>
    <col min="1812" max="1812" width="3" style="37" customWidth="1"/>
    <col min="1813" max="1813" width="2.42578125" style="37" customWidth="1"/>
    <col min="1814" max="1814" width="2.28515625" style="37" customWidth="1"/>
    <col min="1815" max="1815" width="20.7109375" style="37" customWidth="1"/>
    <col min="1816" max="1816" width="4.7109375" style="37" customWidth="1"/>
    <col min="1817" max="1817" width="2.85546875" style="37" customWidth="1"/>
    <col min="1818" max="1818" width="33.28515625" style="37" customWidth="1"/>
    <col min="1819" max="1819" width="4.7109375" style="37" customWidth="1"/>
    <col min="1820" max="2048" width="9.140625" style="37"/>
    <col min="2049" max="2049" width="3.42578125" style="37" customWidth="1"/>
    <col min="2050" max="2050" width="16.5703125" style="37" customWidth="1"/>
    <col min="2051" max="2051" width="4.7109375" style="37" customWidth="1"/>
    <col min="2052" max="2052" width="4.5703125" style="37" customWidth="1"/>
    <col min="2053" max="2053" width="16.85546875" style="37" customWidth="1"/>
    <col min="2054" max="2054" width="4.7109375" style="37" customWidth="1"/>
    <col min="2055" max="2055" width="5.28515625" style="37" customWidth="1"/>
    <col min="2056" max="2056" width="16.7109375" style="37" customWidth="1"/>
    <col min="2057" max="2057" width="4.7109375" style="37" customWidth="1"/>
    <col min="2058" max="2058" width="5.42578125" style="37" customWidth="1"/>
    <col min="2059" max="2059" width="16.7109375" style="37" customWidth="1"/>
    <col min="2060" max="2061" width="4.7109375" style="37" customWidth="1"/>
    <col min="2062" max="2062" width="16.7109375" style="37" customWidth="1"/>
    <col min="2063" max="2063" width="4.7109375" style="37" customWidth="1"/>
    <col min="2064" max="2064" width="2.85546875" style="37" customWidth="1"/>
    <col min="2065" max="2065" width="4.28515625" style="37" customWidth="1"/>
    <col min="2066" max="2066" width="17.140625" style="37" customWidth="1"/>
    <col min="2067" max="2067" width="4.7109375" style="37" customWidth="1"/>
    <col min="2068" max="2068" width="3" style="37" customWidth="1"/>
    <col min="2069" max="2069" width="2.42578125" style="37" customWidth="1"/>
    <col min="2070" max="2070" width="2.28515625" style="37" customWidth="1"/>
    <col min="2071" max="2071" width="20.7109375" style="37" customWidth="1"/>
    <col min="2072" max="2072" width="4.7109375" style="37" customWidth="1"/>
    <col min="2073" max="2073" width="2.85546875" style="37" customWidth="1"/>
    <col min="2074" max="2074" width="33.28515625" style="37" customWidth="1"/>
    <col min="2075" max="2075" width="4.7109375" style="37" customWidth="1"/>
    <col min="2076" max="2304" width="9.140625" style="37"/>
    <col min="2305" max="2305" width="3.42578125" style="37" customWidth="1"/>
    <col min="2306" max="2306" width="16.5703125" style="37" customWidth="1"/>
    <col min="2307" max="2307" width="4.7109375" style="37" customWidth="1"/>
    <col min="2308" max="2308" width="4.5703125" style="37" customWidth="1"/>
    <col min="2309" max="2309" width="16.85546875" style="37" customWidth="1"/>
    <col min="2310" max="2310" width="4.7109375" style="37" customWidth="1"/>
    <col min="2311" max="2311" width="5.28515625" style="37" customWidth="1"/>
    <col min="2312" max="2312" width="16.7109375" style="37" customWidth="1"/>
    <col min="2313" max="2313" width="4.7109375" style="37" customWidth="1"/>
    <col min="2314" max="2314" width="5.42578125" style="37" customWidth="1"/>
    <col min="2315" max="2315" width="16.7109375" style="37" customWidth="1"/>
    <col min="2316" max="2317" width="4.7109375" style="37" customWidth="1"/>
    <col min="2318" max="2318" width="16.7109375" style="37" customWidth="1"/>
    <col min="2319" max="2319" width="4.7109375" style="37" customWidth="1"/>
    <col min="2320" max="2320" width="2.85546875" style="37" customWidth="1"/>
    <col min="2321" max="2321" width="4.28515625" style="37" customWidth="1"/>
    <col min="2322" max="2322" width="17.140625" style="37" customWidth="1"/>
    <col min="2323" max="2323" width="4.7109375" style="37" customWidth="1"/>
    <col min="2324" max="2324" width="3" style="37" customWidth="1"/>
    <col min="2325" max="2325" width="2.42578125" style="37" customWidth="1"/>
    <col min="2326" max="2326" width="2.28515625" style="37" customWidth="1"/>
    <col min="2327" max="2327" width="20.7109375" style="37" customWidth="1"/>
    <col min="2328" max="2328" width="4.7109375" style="37" customWidth="1"/>
    <col min="2329" max="2329" width="2.85546875" style="37" customWidth="1"/>
    <col min="2330" max="2330" width="33.28515625" style="37" customWidth="1"/>
    <col min="2331" max="2331" width="4.7109375" style="37" customWidth="1"/>
    <col min="2332" max="2560" width="9.140625" style="37"/>
    <col min="2561" max="2561" width="3.42578125" style="37" customWidth="1"/>
    <col min="2562" max="2562" width="16.5703125" style="37" customWidth="1"/>
    <col min="2563" max="2563" width="4.7109375" style="37" customWidth="1"/>
    <col min="2564" max="2564" width="4.5703125" style="37" customWidth="1"/>
    <col min="2565" max="2565" width="16.85546875" style="37" customWidth="1"/>
    <col min="2566" max="2566" width="4.7109375" style="37" customWidth="1"/>
    <col min="2567" max="2567" width="5.28515625" style="37" customWidth="1"/>
    <col min="2568" max="2568" width="16.7109375" style="37" customWidth="1"/>
    <col min="2569" max="2569" width="4.7109375" style="37" customWidth="1"/>
    <col min="2570" max="2570" width="5.42578125" style="37" customWidth="1"/>
    <col min="2571" max="2571" width="16.7109375" style="37" customWidth="1"/>
    <col min="2572" max="2573" width="4.7109375" style="37" customWidth="1"/>
    <col min="2574" max="2574" width="16.7109375" style="37" customWidth="1"/>
    <col min="2575" max="2575" width="4.7109375" style="37" customWidth="1"/>
    <col min="2576" max="2576" width="2.85546875" style="37" customWidth="1"/>
    <col min="2577" max="2577" width="4.28515625" style="37" customWidth="1"/>
    <col min="2578" max="2578" width="17.140625" style="37" customWidth="1"/>
    <col min="2579" max="2579" width="4.7109375" style="37" customWidth="1"/>
    <col min="2580" max="2580" width="3" style="37" customWidth="1"/>
    <col min="2581" max="2581" width="2.42578125" style="37" customWidth="1"/>
    <col min="2582" max="2582" width="2.28515625" style="37" customWidth="1"/>
    <col min="2583" max="2583" width="20.7109375" style="37" customWidth="1"/>
    <col min="2584" max="2584" width="4.7109375" style="37" customWidth="1"/>
    <col min="2585" max="2585" width="2.85546875" style="37" customWidth="1"/>
    <col min="2586" max="2586" width="33.28515625" style="37" customWidth="1"/>
    <col min="2587" max="2587" width="4.7109375" style="37" customWidth="1"/>
    <col min="2588" max="2816" width="9.140625" style="37"/>
    <col min="2817" max="2817" width="3.42578125" style="37" customWidth="1"/>
    <col min="2818" max="2818" width="16.5703125" style="37" customWidth="1"/>
    <col min="2819" max="2819" width="4.7109375" style="37" customWidth="1"/>
    <col min="2820" max="2820" width="4.5703125" style="37" customWidth="1"/>
    <col min="2821" max="2821" width="16.85546875" style="37" customWidth="1"/>
    <col min="2822" max="2822" width="4.7109375" style="37" customWidth="1"/>
    <col min="2823" max="2823" width="5.28515625" style="37" customWidth="1"/>
    <col min="2824" max="2824" width="16.7109375" style="37" customWidth="1"/>
    <col min="2825" max="2825" width="4.7109375" style="37" customWidth="1"/>
    <col min="2826" max="2826" width="5.42578125" style="37" customWidth="1"/>
    <col min="2827" max="2827" width="16.7109375" style="37" customWidth="1"/>
    <col min="2828" max="2829" width="4.7109375" style="37" customWidth="1"/>
    <col min="2830" max="2830" width="16.7109375" style="37" customWidth="1"/>
    <col min="2831" max="2831" width="4.7109375" style="37" customWidth="1"/>
    <col min="2832" max="2832" width="2.85546875" style="37" customWidth="1"/>
    <col min="2833" max="2833" width="4.28515625" style="37" customWidth="1"/>
    <col min="2834" max="2834" width="17.140625" style="37" customWidth="1"/>
    <col min="2835" max="2835" width="4.7109375" style="37" customWidth="1"/>
    <col min="2836" max="2836" width="3" style="37" customWidth="1"/>
    <col min="2837" max="2837" width="2.42578125" style="37" customWidth="1"/>
    <col min="2838" max="2838" width="2.28515625" style="37" customWidth="1"/>
    <col min="2839" max="2839" width="20.7109375" style="37" customWidth="1"/>
    <col min="2840" max="2840" width="4.7109375" style="37" customWidth="1"/>
    <col min="2841" max="2841" width="2.85546875" style="37" customWidth="1"/>
    <col min="2842" max="2842" width="33.28515625" style="37" customWidth="1"/>
    <col min="2843" max="2843" width="4.7109375" style="37" customWidth="1"/>
    <col min="2844" max="3072" width="9.140625" style="37"/>
    <col min="3073" max="3073" width="3.42578125" style="37" customWidth="1"/>
    <col min="3074" max="3074" width="16.5703125" style="37" customWidth="1"/>
    <col min="3075" max="3075" width="4.7109375" style="37" customWidth="1"/>
    <col min="3076" max="3076" width="4.5703125" style="37" customWidth="1"/>
    <col min="3077" max="3077" width="16.85546875" style="37" customWidth="1"/>
    <col min="3078" max="3078" width="4.7109375" style="37" customWidth="1"/>
    <col min="3079" max="3079" width="5.28515625" style="37" customWidth="1"/>
    <col min="3080" max="3080" width="16.7109375" style="37" customWidth="1"/>
    <col min="3081" max="3081" width="4.7109375" style="37" customWidth="1"/>
    <col min="3082" max="3082" width="5.42578125" style="37" customWidth="1"/>
    <col min="3083" max="3083" width="16.7109375" style="37" customWidth="1"/>
    <col min="3084" max="3085" width="4.7109375" style="37" customWidth="1"/>
    <col min="3086" max="3086" width="16.7109375" style="37" customWidth="1"/>
    <col min="3087" max="3087" width="4.7109375" style="37" customWidth="1"/>
    <col min="3088" max="3088" width="2.85546875" style="37" customWidth="1"/>
    <col min="3089" max="3089" width="4.28515625" style="37" customWidth="1"/>
    <col min="3090" max="3090" width="17.140625" style="37" customWidth="1"/>
    <col min="3091" max="3091" width="4.7109375" style="37" customWidth="1"/>
    <col min="3092" max="3092" width="3" style="37" customWidth="1"/>
    <col min="3093" max="3093" width="2.42578125" style="37" customWidth="1"/>
    <col min="3094" max="3094" width="2.28515625" style="37" customWidth="1"/>
    <col min="3095" max="3095" width="20.7109375" style="37" customWidth="1"/>
    <col min="3096" max="3096" width="4.7109375" style="37" customWidth="1"/>
    <col min="3097" max="3097" width="2.85546875" style="37" customWidth="1"/>
    <col min="3098" max="3098" width="33.28515625" style="37" customWidth="1"/>
    <col min="3099" max="3099" width="4.7109375" style="37" customWidth="1"/>
    <col min="3100" max="3328" width="9.140625" style="37"/>
    <col min="3329" max="3329" width="3.42578125" style="37" customWidth="1"/>
    <col min="3330" max="3330" width="16.5703125" style="37" customWidth="1"/>
    <col min="3331" max="3331" width="4.7109375" style="37" customWidth="1"/>
    <col min="3332" max="3332" width="4.5703125" style="37" customWidth="1"/>
    <col min="3333" max="3333" width="16.85546875" style="37" customWidth="1"/>
    <col min="3334" max="3334" width="4.7109375" style="37" customWidth="1"/>
    <col min="3335" max="3335" width="5.28515625" style="37" customWidth="1"/>
    <col min="3336" max="3336" width="16.7109375" style="37" customWidth="1"/>
    <col min="3337" max="3337" width="4.7109375" style="37" customWidth="1"/>
    <col min="3338" max="3338" width="5.42578125" style="37" customWidth="1"/>
    <col min="3339" max="3339" width="16.7109375" style="37" customWidth="1"/>
    <col min="3340" max="3341" width="4.7109375" style="37" customWidth="1"/>
    <col min="3342" max="3342" width="16.7109375" style="37" customWidth="1"/>
    <col min="3343" max="3343" width="4.7109375" style="37" customWidth="1"/>
    <col min="3344" max="3344" width="2.85546875" style="37" customWidth="1"/>
    <col min="3345" max="3345" width="4.28515625" style="37" customWidth="1"/>
    <col min="3346" max="3346" width="17.140625" style="37" customWidth="1"/>
    <col min="3347" max="3347" width="4.7109375" style="37" customWidth="1"/>
    <col min="3348" max="3348" width="3" style="37" customWidth="1"/>
    <col min="3349" max="3349" width="2.42578125" style="37" customWidth="1"/>
    <col min="3350" max="3350" width="2.28515625" style="37" customWidth="1"/>
    <col min="3351" max="3351" width="20.7109375" style="37" customWidth="1"/>
    <col min="3352" max="3352" width="4.7109375" style="37" customWidth="1"/>
    <col min="3353" max="3353" width="2.85546875" style="37" customWidth="1"/>
    <col min="3354" max="3354" width="33.28515625" style="37" customWidth="1"/>
    <col min="3355" max="3355" width="4.7109375" style="37" customWidth="1"/>
    <col min="3356" max="3584" width="9.140625" style="37"/>
    <col min="3585" max="3585" width="3.42578125" style="37" customWidth="1"/>
    <col min="3586" max="3586" width="16.5703125" style="37" customWidth="1"/>
    <col min="3587" max="3587" width="4.7109375" style="37" customWidth="1"/>
    <col min="3588" max="3588" width="4.5703125" style="37" customWidth="1"/>
    <col min="3589" max="3589" width="16.85546875" style="37" customWidth="1"/>
    <col min="3590" max="3590" width="4.7109375" style="37" customWidth="1"/>
    <col min="3591" max="3591" width="5.28515625" style="37" customWidth="1"/>
    <col min="3592" max="3592" width="16.7109375" style="37" customWidth="1"/>
    <col min="3593" max="3593" width="4.7109375" style="37" customWidth="1"/>
    <col min="3594" max="3594" width="5.42578125" style="37" customWidth="1"/>
    <col min="3595" max="3595" width="16.7109375" style="37" customWidth="1"/>
    <col min="3596" max="3597" width="4.7109375" style="37" customWidth="1"/>
    <col min="3598" max="3598" width="16.7109375" style="37" customWidth="1"/>
    <col min="3599" max="3599" width="4.7109375" style="37" customWidth="1"/>
    <col min="3600" max="3600" width="2.85546875" style="37" customWidth="1"/>
    <col min="3601" max="3601" width="4.28515625" style="37" customWidth="1"/>
    <col min="3602" max="3602" width="17.140625" style="37" customWidth="1"/>
    <col min="3603" max="3603" width="4.7109375" style="37" customWidth="1"/>
    <col min="3604" max="3604" width="3" style="37" customWidth="1"/>
    <col min="3605" max="3605" width="2.42578125" style="37" customWidth="1"/>
    <col min="3606" max="3606" width="2.28515625" style="37" customWidth="1"/>
    <col min="3607" max="3607" width="20.7109375" style="37" customWidth="1"/>
    <col min="3608" max="3608" width="4.7109375" style="37" customWidth="1"/>
    <col min="3609" max="3609" width="2.85546875" style="37" customWidth="1"/>
    <col min="3610" max="3610" width="33.28515625" style="37" customWidth="1"/>
    <col min="3611" max="3611" width="4.7109375" style="37" customWidth="1"/>
    <col min="3612" max="3840" width="9.140625" style="37"/>
    <col min="3841" max="3841" width="3.42578125" style="37" customWidth="1"/>
    <col min="3842" max="3842" width="16.5703125" style="37" customWidth="1"/>
    <col min="3843" max="3843" width="4.7109375" style="37" customWidth="1"/>
    <col min="3844" max="3844" width="4.5703125" style="37" customWidth="1"/>
    <col min="3845" max="3845" width="16.85546875" style="37" customWidth="1"/>
    <col min="3846" max="3846" width="4.7109375" style="37" customWidth="1"/>
    <col min="3847" max="3847" width="5.28515625" style="37" customWidth="1"/>
    <col min="3848" max="3848" width="16.7109375" style="37" customWidth="1"/>
    <col min="3849" max="3849" width="4.7109375" style="37" customWidth="1"/>
    <col min="3850" max="3850" width="5.42578125" style="37" customWidth="1"/>
    <col min="3851" max="3851" width="16.7109375" style="37" customWidth="1"/>
    <col min="3852" max="3853" width="4.7109375" style="37" customWidth="1"/>
    <col min="3854" max="3854" width="16.7109375" style="37" customWidth="1"/>
    <col min="3855" max="3855" width="4.7109375" style="37" customWidth="1"/>
    <col min="3856" max="3856" width="2.85546875" style="37" customWidth="1"/>
    <col min="3857" max="3857" width="4.28515625" style="37" customWidth="1"/>
    <col min="3858" max="3858" width="17.140625" style="37" customWidth="1"/>
    <col min="3859" max="3859" width="4.7109375" style="37" customWidth="1"/>
    <col min="3860" max="3860" width="3" style="37" customWidth="1"/>
    <col min="3861" max="3861" width="2.42578125" style="37" customWidth="1"/>
    <col min="3862" max="3862" width="2.28515625" style="37" customWidth="1"/>
    <col min="3863" max="3863" width="20.7109375" style="37" customWidth="1"/>
    <col min="3864" max="3864" width="4.7109375" style="37" customWidth="1"/>
    <col min="3865" max="3865" width="2.85546875" style="37" customWidth="1"/>
    <col min="3866" max="3866" width="33.28515625" style="37" customWidth="1"/>
    <col min="3867" max="3867" width="4.7109375" style="37" customWidth="1"/>
    <col min="3868" max="4096" width="9.140625" style="37"/>
    <col min="4097" max="4097" width="3.42578125" style="37" customWidth="1"/>
    <col min="4098" max="4098" width="16.5703125" style="37" customWidth="1"/>
    <col min="4099" max="4099" width="4.7109375" style="37" customWidth="1"/>
    <col min="4100" max="4100" width="4.5703125" style="37" customWidth="1"/>
    <col min="4101" max="4101" width="16.85546875" style="37" customWidth="1"/>
    <col min="4102" max="4102" width="4.7109375" style="37" customWidth="1"/>
    <col min="4103" max="4103" width="5.28515625" style="37" customWidth="1"/>
    <col min="4104" max="4104" width="16.7109375" style="37" customWidth="1"/>
    <col min="4105" max="4105" width="4.7109375" style="37" customWidth="1"/>
    <col min="4106" max="4106" width="5.42578125" style="37" customWidth="1"/>
    <col min="4107" max="4107" width="16.7109375" style="37" customWidth="1"/>
    <col min="4108" max="4109" width="4.7109375" style="37" customWidth="1"/>
    <col min="4110" max="4110" width="16.7109375" style="37" customWidth="1"/>
    <col min="4111" max="4111" width="4.7109375" style="37" customWidth="1"/>
    <col min="4112" max="4112" width="2.85546875" style="37" customWidth="1"/>
    <col min="4113" max="4113" width="4.28515625" style="37" customWidth="1"/>
    <col min="4114" max="4114" width="17.140625" style="37" customWidth="1"/>
    <col min="4115" max="4115" width="4.7109375" style="37" customWidth="1"/>
    <col min="4116" max="4116" width="3" style="37" customWidth="1"/>
    <col min="4117" max="4117" width="2.42578125" style="37" customWidth="1"/>
    <col min="4118" max="4118" width="2.28515625" style="37" customWidth="1"/>
    <col min="4119" max="4119" width="20.7109375" style="37" customWidth="1"/>
    <col min="4120" max="4120" width="4.7109375" style="37" customWidth="1"/>
    <col min="4121" max="4121" width="2.85546875" style="37" customWidth="1"/>
    <col min="4122" max="4122" width="33.28515625" style="37" customWidth="1"/>
    <col min="4123" max="4123" width="4.7109375" style="37" customWidth="1"/>
    <col min="4124" max="4352" width="9.140625" style="37"/>
    <col min="4353" max="4353" width="3.42578125" style="37" customWidth="1"/>
    <col min="4354" max="4354" width="16.5703125" style="37" customWidth="1"/>
    <col min="4355" max="4355" width="4.7109375" style="37" customWidth="1"/>
    <col min="4356" max="4356" width="4.5703125" style="37" customWidth="1"/>
    <col min="4357" max="4357" width="16.85546875" style="37" customWidth="1"/>
    <col min="4358" max="4358" width="4.7109375" style="37" customWidth="1"/>
    <col min="4359" max="4359" width="5.28515625" style="37" customWidth="1"/>
    <col min="4360" max="4360" width="16.7109375" style="37" customWidth="1"/>
    <col min="4361" max="4361" width="4.7109375" style="37" customWidth="1"/>
    <col min="4362" max="4362" width="5.42578125" style="37" customWidth="1"/>
    <col min="4363" max="4363" width="16.7109375" style="37" customWidth="1"/>
    <col min="4364" max="4365" width="4.7109375" style="37" customWidth="1"/>
    <col min="4366" max="4366" width="16.7109375" style="37" customWidth="1"/>
    <col min="4367" max="4367" width="4.7109375" style="37" customWidth="1"/>
    <col min="4368" max="4368" width="2.85546875" style="37" customWidth="1"/>
    <col min="4369" max="4369" width="4.28515625" style="37" customWidth="1"/>
    <col min="4370" max="4370" width="17.140625" style="37" customWidth="1"/>
    <col min="4371" max="4371" width="4.7109375" style="37" customWidth="1"/>
    <col min="4372" max="4372" width="3" style="37" customWidth="1"/>
    <col min="4373" max="4373" width="2.42578125" style="37" customWidth="1"/>
    <col min="4374" max="4374" width="2.28515625" style="37" customWidth="1"/>
    <col min="4375" max="4375" width="20.7109375" style="37" customWidth="1"/>
    <col min="4376" max="4376" width="4.7109375" style="37" customWidth="1"/>
    <col min="4377" max="4377" width="2.85546875" style="37" customWidth="1"/>
    <col min="4378" max="4378" width="33.28515625" style="37" customWidth="1"/>
    <col min="4379" max="4379" width="4.7109375" style="37" customWidth="1"/>
    <col min="4380" max="4608" width="9.140625" style="37"/>
    <col min="4609" max="4609" width="3.42578125" style="37" customWidth="1"/>
    <col min="4610" max="4610" width="16.5703125" style="37" customWidth="1"/>
    <col min="4611" max="4611" width="4.7109375" style="37" customWidth="1"/>
    <col min="4612" max="4612" width="4.5703125" style="37" customWidth="1"/>
    <col min="4613" max="4613" width="16.85546875" style="37" customWidth="1"/>
    <col min="4614" max="4614" width="4.7109375" style="37" customWidth="1"/>
    <col min="4615" max="4615" width="5.28515625" style="37" customWidth="1"/>
    <col min="4616" max="4616" width="16.7109375" style="37" customWidth="1"/>
    <col min="4617" max="4617" width="4.7109375" style="37" customWidth="1"/>
    <col min="4618" max="4618" width="5.42578125" style="37" customWidth="1"/>
    <col min="4619" max="4619" width="16.7109375" style="37" customWidth="1"/>
    <col min="4620" max="4621" width="4.7109375" style="37" customWidth="1"/>
    <col min="4622" max="4622" width="16.7109375" style="37" customWidth="1"/>
    <col min="4623" max="4623" width="4.7109375" style="37" customWidth="1"/>
    <col min="4624" max="4624" width="2.85546875" style="37" customWidth="1"/>
    <col min="4625" max="4625" width="4.28515625" style="37" customWidth="1"/>
    <col min="4626" max="4626" width="17.140625" style="37" customWidth="1"/>
    <col min="4627" max="4627" width="4.7109375" style="37" customWidth="1"/>
    <col min="4628" max="4628" width="3" style="37" customWidth="1"/>
    <col min="4629" max="4629" width="2.42578125" style="37" customWidth="1"/>
    <col min="4630" max="4630" width="2.28515625" style="37" customWidth="1"/>
    <col min="4631" max="4631" width="20.7109375" style="37" customWidth="1"/>
    <col min="4632" max="4632" width="4.7109375" style="37" customWidth="1"/>
    <col min="4633" max="4633" width="2.85546875" style="37" customWidth="1"/>
    <col min="4634" max="4634" width="33.28515625" style="37" customWidth="1"/>
    <col min="4635" max="4635" width="4.7109375" style="37" customWidth="1"/>
    <col min="4636" max="4864" width="9.140625" style="37"/>
    <col min="4865" max="4865" width="3.42578125" style="37" customWidth="1"/>
    <col min="4866" max="4866" width="16.5703125" style="37" customWidth="1"/>
    <col min="4867" max="4867" width="4.7109375" style="37" customWidth="1"/>
    <col min="4868" max="4868" width="4.5703125" style="37" customWidth="1"/>
    <col min="4869" max="4869" width="16.85546875" style="37" customWidth="1"/>
    <col min="4870" max="4870" width="4.7109375" style="37" customWidth="1"/>
    <col min="4871" max="4871" width="5.28515625" style="37" customWidth="1"/>
    <col min="4872" max="4872" width="16.7109375" style="37" customWidth="1"/>
    <col min="4873" max="4873" width="4.7109375" style="37" customWidth="1"/>
    <col min="4874" max="4874" width="5.42578125" style="37" customWidth="1"/>
    <col min="4875" max="4875" width="16.7109375" style="37" customWidth="1"/>
    <col min="4876" max="4877" width="4.7109375" style="37" customWidth="1"/>
    <col min="4878" max="4878" width="16.7109375" style="37" customWidth="1"/>
    <col min="4879" max="4879" width="4.7109375" style="37" customWidth="1"/>
    <col min="4880" max="4880" width="2.85546875" style="37" customWidth="1"/>
    <col min="4881" max="4881" width="4.28515625" style="37" customWidth="1"/>
    <col min="4882" max="4882" width="17.140625" style="37" customWidth="1"/>
    <col min="4883" max="4883" width="4.7109375" style="37" customWidth="1"/>
    <col min="4884" max="4884" width="3" style="37" customWidth="1"/>
    <col min="4885" max="4885" width="2.42578125" style="37" customWidth="1"/>
    <col min="4886" max="4886" width="2.28515625" style="37" customWidth="1"/>
    <col min="4887" max="4887" width="20.7109375" style="37" customWidth="1"/>
    <col min="4888" max="4888" width="4.7109375" style="37" customWidth="1"/>
    <col min="4889" max="4889" width="2.85546875" style="37" customWidth="1"/>
    <col min="4890" max="4890" width="33.28515625" style="37" customWidth="1"/>
    <col min="4891" max="4891" width="4.7109375" style="37" customWidth="1"/>
    <col min="4892" max="5120" width="9.140625" style="37"/>
    <col min="5121" max="5121" width="3.42578125" style="37" customWidth="1"/>
    <col min="5122" max="5122" width="16.5703125" style="37" customWidth="1"/>
    <col min="5123" max="5123" width="4.7109375" style="37" customWidth="1"/>
    <col min="5124" max="5124" width="4.5703125" style="37" customWidth="1"/>
    <col min="5125" max="5125" width="16.85546875" style="37" customWidth="1"/>
    <col min="5126" max="5126" width="4.7109375" style="37" customWidth="1"/>
    <col min="5127" max="5127" width="5.28515625" style="37" customWidth="1"/>
    <col min="5128" max="5128" width="16.7109375" style="37" customWidth="1"/>
    <col min="5129" max="5129" width="4.7109375" style="37" customWidth="1"/>
    <col min="5130" max="5130" width="5.42578125" style="37" customWidth="1"/>
    <col min="5131" max="5131" width="16.7109375" style="37" customWidth="1"/>
    <col min="5132" max="5133" width="4.7109375" style="37" customWidth="1"/>
    <col min="5134" max="5134" width="16.7109375" style="37" customWidth="1"/>
    <col min="5135" max="5135" width="4.7109375" style="37" customWidth="1"/>
    <col min="5136" max="5136" width="2.85546875" style="37" customWidth="1"/>
    <col min="5137" max="5137" width="4.28515625" style="37" customWidth="1"/>
    <col min="5138" max="5138" width="17.140625" style="37" customWidth="1"/>
    <col min="5139" max="5139" width="4.7109375" style="37" customWidth="1"/>
    <col min="5140" max="5140" width="3" style="37" customWidth="1"/>
    <col min="5141" max="5141" width="2.42578125" style="37" customWidth="1"/>
    <col min="5142" max="5142" width="2.28515625" style="37" customWidth="1"/>
    <col min="5143" max="5143" width="20.7109375" style="37" customWidth="1"/>
    <col min="5144" max="5144" width="4.7109375" style="37" customWidth="1"/>
    <col min="5145" max="5145" width="2.85546875" style="37" customWidth="1"/>
    <col min="5146" max="5146" width="33.28515625" style="37" customWidth="1"/>
    <col min="5147" max="5147" width="4.7109375" style="37" customWidth="1"/>
    <col min="5148" max="5376" width="9.140625" style="37"/>
    <col min="5377" max="5377" width="3.42578125" style="37" customWidth="1"/>
    <col min="5378" max="5378" width="16.5703125" style="37" customWidth="1"/>
    <col min="5379" max="5379" width="4.7109375" style="37" customWidth="1"/>
    <col min="5380" max="5380" width="4.5703125" style="37" customWidth="1"/>
    <col min="5381" max="5381" width="16.85546875" style="37" customWidth="1"/>
    <col min="5382" max="5382" width="4.7109375" style="37" customWidth="1"/>
    <col min="5383" max="5383" width="5.28515625" style="37" customWidth="1"/>
    <col min="5384" max="5384" width="16.7109375" style="37" customWidth="1"/>
    <col min="5385" max="5385" width="4.7109375" style="37" customWidth="1"/>
    <col min="5386" max="5386" width="5.42578125" style="37" customWidth="1"/>
    <col min="5387" max="5387" width="16.7109375" style="37" customWidth="1"/>
    <col min="5388" max="5389" width="4.7109375" style="37" customWidth="1"/>
    <col min="5390" max="5390" width="16.7109375" style="37" customWidth="1"/>
    <col min="5391" max="5391" width="4.7109375" style="37" customWidth="1"/>
    <col min="5392" max="5392" width="2.85546875" style="37" customWidth="1"/>
    <col min="5393" max="5393" width="4.28515625" style="37" customWidth="1"/>
    <col min="5394" max="5394" width="17.140625" style="37" customWidth="1"/>
    <col min="5395" max="5395" width="4.7109375" style="37" customWidth="1"/>
    <col min="5396" max="5396" width="3" style="37" customWidth="1"/>
    <col min="5397" max="5397" width="2.42578125" style="37" customWidth="1"/>
    <col min="5398" max="5398" width="2.28515625" style="37" customWidth="1"/>
    <col min="5399" max="5399" width="20.7109375" style="37" customWidth="1"/>
    <col min="5400" max="5400" width="4.7109375" style="37" customWidth="1"/>
    <col min="5401" max="5401" width="2.85546875" style="37" customWidth="1"/>
    <col min="5402" max="5402" width="33.28515625" style="37" customWidth="1"/>
    <col min="5403" max="5403" width="4.7109375" style="37" customWidth="1"/>
    <col min="5404" max="5632" width="9.140625" style="37"/>
    <col min="5633" max="5633" width="3.42578125" style="37" customWidth="1"/>
    <col min="5634" max="5634" width="16.5703125" style="37" customWidth="1"/>
    <col min="5635" max="5635" width="4.7109375" style="37" customWidth="1"/>
    <col min="5636" max="5636" width="4.5703125" style="37" customWidth="1"/>
    <col min="5637" max="5637" width="16.85546875" style="37" customWidth="1"/>
    <col min="5638" max="5638" width="4.7109375" style="37" customWidth="1"/>
    <col min="5639" max="5639" width="5.28515625" style="37" customWidth="1"/>
    <col min="5640" max="5640" width="16.7109375" style="37" customWidth="1"/>
    <col min="5641" max="5641" width="4.7109375" style="37" customWidth="1"/>
    <col min="5642" max="5642" width="5.42578125" style="37" customWidth="1"/>
    <col min="5643" max="5643" width="16.7109375" style="37" customWidth="1"/>
    <col min="5644" max="5645" width="4.7109375" style="37" customWidth="1"/>
    <col min="5646" max="5646" width="16.7109375" style="37" customWidth="1"/>
    <col min="5647" max="5647" width="4.7109375" style="37" customWidth="1"/>
    <col min="5648" max="5648" width="2.85546875" style="37" customWidth="1"/>
    <col min="5649" max="5649" width="4.28515625" style="37" customWidth="1"/>
    <col min="5650" max="5650" width="17.140625" style="37" customWidth="1"/>
    <col min="5651" max="5651" width="4.7109375" style="37" customWidth="1"/>
    <col min="5652" max="5652" width="3" style="37" customWidth="1"/>
    <col min="5653" max="5653" width="2.42578125" style="37" customWidth="1"/>
    <col min="5654" max="5654" width="2.28515625" style="37" customWidth="1"/>
    <col min="5655" max="5655" width="20.7109375" style="37" customWidth="1"/>
    <col min="5656" max="5656" width="4.7109375" style="37" customWidth="1"/>
    <col min="5657" max="5657" width="2.85546875" style="37" customWidth="1"/>
    <col min="5658" max="5658" width="33.28515625" style="37" customWidth="1"/>
    <col min="5659" max="5659" width="4.7109375" style="37" customWidth="1"/>
    <col min="5660" max="5888" width="9.140625" style="37"/>
    <col min="5889" max="5889" width="3.42578125" style="37" customWidth="1"/>
    <col min="5890" max="5890" width="16.5703125" style="37" customWidth="1"/>
    <col min="5891" max="5891" width="4.7109375" style="37" customWidth="1"/>
    <col min="5892" max="5892" width="4.5703125" style="37" customWidth="1"/>
    <col min="5893" max="5893" width="16.85546875" style="37" customWidth="1"/>
    <col min="5894" max="5894" width="4.7109375" style="37" customWidth="1"/>
    <col min="5895" max="5895" width="5.28515625" style="37" customWidth="1"/>
    <col min="5896" max="5896" width="16.7109375" style="37" customWidth="1"/>
    <col min="5897" max="5897" width="4.7109375" style="37" customWidth="1"/>
    <col min="5898" max="5898" width="5.42578125" style="37" customWidth="1"/>
    <col min="5899" max="5899" width="16.7109375" style="37" customWidth="1"/>
    <col min="5900" max="5901" width="4.7109375" style="37" customWidth="1"/>
    <col min="5902" max="5902" width="16.7109375" style="37" customWidth="1"/>
    <col min="5903" max="5903" width="4.7109375" style="37" customWidth="1"/>
    <col min="5904" max="5904" width="2.85546875" style="37" customWidth="1"/>
    <col min="5905" max="5905" width="4.28515625" style="37" customWidth="1"/>
    <col min="5906" max="5906" width="17.140625" style="37" customWidth="1"/>
    <col min="5907" max="5907" width="4.7109375" style="37" customWidth="1"/>
    <col min="5908" max="5908" width="3" style="37" customWidth="1"/>
    <col min="5909" max="5909" width="2.42578125" style="37" customWidth="1"/>
    <col min="5910" max="5910" width="2.28515625" style="37" customWidth="1"/>
    <col min="5911" max="5911" width="20.7109375" style="37" customWidth="1"/>
    <col min="5912" max="5912" width="4.7109375" style="37" customWidth="1"/>
    <col min="5913" max="5913" width="2.85546875" style="37" customWidth="1"/>
    <col min="5914" max="5914" width="33.28515625" style="37" customWidth="1"/>
    <col min="5915" max="5915" width="4.7109375" style="37" customWidth="1"/>
    <col min="5916" max="6144" width="9.140625" style="37"/>
    <col min="6145" max="6145" width="3.42578125" style="37" customWidth="1"/>
    <col min="6146" max="6146" width="16.5703125" style="37" customWidth="1"/>
    <col min="6147" max="6147" width="4.7109375" style="37" customWidth="1"/>
    <col min="6148" max="6148" width="4.5703125" style="37" customWidth="1"/>
    <col min="6149" max="6149" width="16.85546875" style="37" customWidth="1"/>
    <col min="6150" max="6150" width="4.7109375" style="37" customWidth="1"/>
    <col min="6151" max="6151" width="5.28515625" style="37" customWidth="1"/>
    <col min="6152" max="6152" width="16.7109375" style="37" customWidth="1"/>
    <col min="6153" max="6153" width="4.7109375" style="37" customWidth="1"/>
    <col min="6154" max="6154" width="5.42578125" style="37" customWidth="1"/>
    <col min="6155" max="6155" width="16.7109375" style="37" customWidth="1"/>
    <col min="6156" max="6157" width="4.7109375" style="37" customWidth="1"/>
    <col min="6158" max="6158" width="16.7109375" style="37" customWidth="1"/>
    <col min="6159" max="6159" width="4.7109375" style="37" customWidth="1"/>
    <col min="6160" max="6160" width="2.85546875" style="37" customWidth="1"/>
    <col min="6161" max="6161" width="4.28515625" style="37" customWidth="1"/>
    <col min="6162" max="6162" width="17.140625" style="37" customWidth="1"/>
    <col min="6163" max="6163" width="4.7109375" style="37" customWidth="1"/>
    <col min="6164" max="6164" width="3" style="37" customWidth="1"/>
    <col min="6165" max="6165" width="2.42578125" style="37" customWidth="1"/>
    <col min="6166" max="6166" width="2.28515625" style="37" customWidth="1"/>
    <col min="6167" max="6167" width="20.7109375" style="37" customWidth="1"/>
    <col min="6168" max="6168" width="4.7109375" style="37" customWidth="1"/>
    <col min="6169" max="6169" width="2.85546875" style="37" customWidth="1"/>
    <col min="6170" max="6170" width="33.28515625" style="37" customWidth="1"/>
    <col min="6171" max="6171" width="4.7109375" style="37" customWidth="1"/>
    <col min="6172" max="6400" width="9.140625" style="37"/>
    <col min="6401" max="6401" width="3.42578125" style="37" customWidth="1"/>
    <col min="6402" max="6402" width="16.5703125" style="37" customWidth="1"/>
    <col min="6403" max="6403" width="4.7109375" style="37" customWidth="1"/>
    <col min="6404" max="6404" width="4.5703125" style="37" customWidth="1"/>
    <col min="6405" max="6405" width="16.85546875" style="37" customWidth="1"/>
    <col min="6406" max="6406" width="4.7109375" style="37" customWidth="1"/>
    <col min="6407" max="6407" width="5.28515625" style="37" customWidth="1"/>
    <col min="6408" max="6408" width="16.7109375" style="37" customWidth="1"/>
    <col min="6409" max="6409" width="4.7109375" style="37" customWidth="1"/>
    <col min="6410" max="6410" width="5.42578125" style="37" customWidth="1"/>
    <col min="6411" max="6411" width="16.7109375" style="37" customWidth="1"/>
    <col min="6412" max="6413" width="4.7109375" style="37" customWidth="1"/>
    <col min="6414" max="6414" width="16.7109375" style="37" customWidth="1"/>
    <col min="6415" max="6415" width="4.7109375" style="37" customWidth="1"/>
    <col min="6416" max="6416" width="2.85546875" style="37" customWidth="1"/>
    <col min="6417" max="6417" width="4.28515625" style="37" customWidth="1"/>
    <col min="6418" max="6418" width="17.140625" style="37" customWidth="1"/>
    <col min="6419" max="6419" width="4.7109375" style="37" customWidth="1"/>
    <col min="6420" max="6420" width="3" style="37" customWidth="1"/>
    <col min="6421" max="6421" width="2.42578125" style="37" customWidth="1"/>
    <col min="6422" max="6422" width="2.28515625" style="37" customWidth="1"/>
    <col min="6423" max="6423" width="20.7109375" style="37" customWidth="1"/>
    <col min="6424" max="6424" width="4.7109375" style="37" customWidth="1"/>
    <col min="6425" max="6425" width="2.85546875" style="37" customWidth="1"/>
    <col min="6426" max="6426" width="33.28515625" style="37" customWidth="1"/>
    <col min="6427" max="6427" width="4.7109375" style="37" customWidth="1"/>
    <col min="6428" max="6656" width="9.140625" style="37"/>
    <col min="6657" max="6657" width="3.42578125" style="37" customWidth="1"/>
    <col min="6658" max="6658" width="16.5703125" style="37" customWidth="1"/>
    <col min="6659" max="6659" width="4.7109375" style="37" customWidth="1"/>
    <col min="6660" max="6660" width="4.5703125" style="37" customWidth="1"/>
    <col min="6661" max="6661" width="16.85546875" style="37" customWidth="1"/>
    <col min="6662" max="6662" width="4.7109375" style="37" customWidth="1"/>
    <col min="6663" max="6663" width="5.28515625" style="37" customWidth="1"/>
    <col min="6664" max="6664" width="16.7109375" style="37" customWidth="1"/>
    <col min="6665" max="6665" width="4.7109375" style="37" customWidth="1"/>
    <col min="6666" max="6666" width="5.42578125" style="37" customWidth="1"/>
    <col min="6667" max="6667" width="16.7109375" style="37" customWidth="1"/>
    <col min="6668" max="6669" width="4.7109375" style="37" customWidth="1"/>
    <col min="6670" max="6670" width="16.7109375" style="37" customWidth="1"/>
    <col min="6671" max="6671" width="4.7109375" style="37" customWidth="1"/>
    <col min="6672" max="6672" width="2.85546875" style="37" customWidth="1"/>
    <col min="6673" max="6673" width="4.28515625" style="37" customWidth="1"/>
    <col min="6674" max="6674" width="17.140625" style="37" customWidth="1"/>
    <col min="6675" max="6675" width="4.7109375" style="37" customWidth="1"/>
    <col min="6676" max="6676" width="3" style="37" customWidth="1"/>
    <col min="6677" max="6677" width="2.42578125" style="37" customWidth="1"/>
    <col min="6678" max="6678" width="2.28515625" style="37" customWidth="1"/>
    <col min="6679" max="6679" width="20.7109375" style="37" customWidth="1"/>
    <col min="6680" max="6680" width="4.7109375" style="37" customWidth="1"/>
    <col min="6681" max="6681" width="2.85546875" style="37" customWidth="1"/>
    <col min="6682" max="6682" width="33.28515625" style="37" customWidth="1"/>
    <col min="6683" max="6683" width="4.7109375" style="37" customWidth="1"/>
    <col min="6684" max="6912" width="9.140625" style="37"/>
    <col min="6913" max="6913" width="3.42578125" style="37" customWidth="1"/>
    <col min="6914" max="6914" width="16.5703125" style="37" customWidth="1"/>
    <col min="6915" max="6915" width="4.7109375" style="37" customWidth="1"/>
    <col min="6916" max="6916" width="4.5703125" style="37" customWidth="1"/>
    <col min="6917" max="6917" width="16.85546875" style="37" customWidth="1"/>
    <col min="6918" max="6918" width="4.7109375" style="37" customWidth="1"/>
    <col min="6919" max="6919" width="5.28515625" style="37" customWidth="1"/>
    <col min="6920" max="6920" width="16.7109375" style="37" customWidth="1"/>
    <col min="6921" max="6921" width="4.7109375" style="37" customWidth="1"/>
    <col min="6922" max="6922" width="5.42578125" style="37" customWidth="1"/>
    <col min="6923" max="6923" width="16.7109375" style="37" customWidth="1"/>
    <col min="6924" max="6925" width="4.7109375" style="37" customWidth="1"/>
    <col min="6926" max="6926" width="16.7109375" style="37" customWidth="1"/>
    <col min="6927" max="6927" width="4.7109375" style="37" customWidth="1"/>
    <col min="6928" max="6928" width="2.85546875" style="37" customWidth="1"/>
    <col min="6929" max="6929" width="4.28515625" style="37" customWidth="1"/>
    <col min="6930" max="6930" width="17.140625" style="37" customWidth="1"/>
    <col min="6931" max="6931" width="4.7109375" style="37" customWidth="1"/>
    <col min="6932" max="6932" width="3" style="37" customWidth="1"/>
    <col min="6933" max="6933" width="2.42578125" style="37" customWidth="1"/>
    <col min="6934" max="6934" width="2.28515625" style="37" customWidth="1"/>
    <col min="6935" max="6935" width="20.7109375" style="37" customWidth="1"/>
    <col min="6936" max="6936" width="4.7109375" style="37" customWidth="1"/>
    <col min="6937" max="6937" width="2.85546875" style="37" customWidth="1"/>
    <col min="6938" max="6938" width="33.28515625" style="37" customWidth="1"/>
    <col min="6939" max="6939" width="4.7109375" style="37" customWidth="1"/>
    <col min="6940" max="7168" width="9.140625" style="37"/>
    <col min="7169" max="7169" width="3.42578125" style="37" customWidth="1"/>
    <col min="7170" max="7170" width="16.5703125" style="37" customWidth="1"/>
    <col min="7171" max="7171" width="4.7109375" style="37" customWidth="1"/>
    <col min="7172" max="7172" width="4.5703125" style="37" customWidth="1"/>
    <col min="7173" max="7173" width="16.85546875" style="37" customWidth="1"/>
    <col min="7174" max="7174" width="4.7109375" style="37" customWidth="1"/>
    <col min="7175" max="7175" width="5.28515625" style="37" customWidth="1"/>
    <col min="7176" max="7176" width="16.7109375" style="37" customWidth="1"/>
    <col min="7177" max="7177" width="4.7109375" style="37" customWidth="1"/>
    <col min="7178" max="7178" width="5.42578125" style="37" customWidth="1"/>
    <col min="7179" max="7179" width="16.7109375" style="37" customWidth="1"/>
    <col min="7180" max="7181" width="4.7109375" style="37" customWidth="1"/>
    <col min="7182" max="7182" width="16.7109375" style="37" customWidth="1"/>
    <col min="7183" max="7183" width="4.7109375" style="37" customWidth="1"/>
    <col min="7184" max="7184" width="2.85546875" style="37" customWidth="1"/>
    <col min="7185" max="7185" width="4.28515625" style="37" customWidth="1"/>
    <col min="7186" max="7186" width="17.140625" style="37" customWidth="1"/>
    <col min="7187" max="7187" width="4.7109375" style="37" customWidth="1"/>
    <col min="7188" max="7188" width="3" style="37" customWidth="1"/>
    <col min="7189" max="7189" width="2.42578125" style="37" customWidth="1"/>
    <col min="7190" max="7190" width="2.28515625" style="37" customWidth="1"/>
    <col min="7191" max="7191" width="20.7109375" style="37" customWidth="1"/>
    <col min="7192" max="7192" width="4.7109375" style="37" customWidth="1"/>
    <col min="7193" max="7193" width="2.85546875" style="37" customWidth="1"/>
    <col min="7194" max="7194" width="33.28515625" style="37" customWidth="1"/>
    <col min="7195" max="7195" width="4.7109375" style="37" customWidth="1"/>
    <col min="7196" max="7424" width="9.140625" style="37"/>
    <col min="7425" max="7425" width="3.42578125" style="37" customWidth="1"/>
    <col min="7426" max="7426" width="16.5703125" style="37" customWidth="1"/>
    <col min="7427" max="7427" width="4.7109375" style="37" customWidth="1"/>
    <col min="7428" max="7428" width="4.5703125" style="37" customWidth="1"/>
    <col min="7429" max="7429" width="16.85546875" style="37" customWidth="1"/>
    <col min="7430" max="7430" width="4.7109375" style="37" customWidth="1"/>
    <col min="7431" max="7431" width="5.28515625" style="37" customWidth="1"/>
    <col min="7432" max="7432" width="16.7109375" style="37" customWidth="1"/>
    <col min="7433" max="7433" width="4.7109375" style="37" customWidth="1"/>
    <col min="7434" max="7434" width="5.42578125" style="37" customWidth="1"/>
    <col min="7435" max="7435" width="16.7109375" style="37" customWidth="1"/>
    <col min="7436" max="7437" width="4.7109375" style="37" customWidth="1"/>
    <col min="7438" max="7438" width="16.7109375" style="37" customWidth="1"/>
    <col min="7439" max="7439" width="4.7109375" style="37" customWidth="1"/>
    <col min="7440" max="7440" width="2.85546875" style="37" customWidth="1"/>
    <col min="7441" max="7441" width="4.28515625" style="37" customWidth="1"/>
    <col min="7442" max="7442" width="17.140625" style="37" customWidth="1"/>
    <col min="7443" max="7443" width="4.7109375" style="37" customWidth="1"/>
    <col min="7444" max="7444" width="3" style="37" customWidth="1"/>
    <col min="7445" max="7445" width="2.42578125" style="37" customWidth="1"/>
    <col min="7446" max="7446" width="2.28515625" style="37" customWidth="1"/>
    <col min="7447" max="7447" width="20.7109375" style="37" customWidth="1"/>
    <col min="7448" max="7448" width="4.7109375" style="37" customWidth="1"/>
    <col min="7449" max="7449" width="2.85546875" style="37" customWidth="1"/>
    <col min="7450" max="7450" width="33.28515625" style="37" customWidth="1"/>
    <col min="7451" max="7451" width="4.7109375" style="37" customWidth="1"/>
    <col min="7452" max="7680" width="9.140625" style="37"/>
    <col min="7681" max="7681" width="3.42578125" style="37" customWidth="1"/>
    <col min="7682" max="7682" width="16.5703125" style="37" customWidth="1"/>
    <col min="7683" max="7683" width="4.7109375" style="37" customWidth="1"/>
    <col min="7684" max="7684" width="4.5703125" style="37" customWidth="1"/>
    <col min="7685" max="7685" width="16.85546875" style="37" customWidth="1"/>
    <col min="7686" max="7686" width="4.7109375" style="37" customWidth="1"/>
    <col min="7687" max="7687" width="5.28515625" style="37" customWidth="1"/>
    <col min="7688" max="7688" width="16.7109375" style="37" customWidth="1"/>
    <col min="7689" max="7689" width="4.7109375" style="37" customWidth="1"/>
    <col min="7690" max="7690" width="5.42578125" style="37" customWidth="1"/>
    <col min="7691" max="7691" width="16.7109375" style="37" customWidth="1"/>
    <col min="7692" max="7693" width="4.7109375" style="37" customWidth="1"/>
    <col min="7694" max="7694" width="16.7109375" style="37" customWidth="1"/>
    <col min="7695" max="7695" width="4.7109375" style="37" customWidth="1"/>
    <col min="7696" max="7696" width="2.85546875" style="37" customWidth="1"/>
    <col min="7697" max="7697" width="4.28515625" style="37" customWidth="1"/>
    <col min="7698" max="7698" width="17.140625" style="37" customWidth="1"/>
    <col min="7699" max="7699" width="4.7109375" style="37" customWidth="1"/>
    <col min="7700" max="7700" width="3" style="37" customWidth="1"/>
    <col min="7701" max="7701" width="2.42578125" style="37" customWidth="1"/>
    <col min="7702" max="7702" width="2.28515625" style="37" customWidth="1"/>
    <col min="7703" max="7703" width="20.7109375" style="37" customWidth="1"/>
    <col min="7704" max="7704" width="4.7109375" style="37" customWidth="1"/>
    <col min="7705" max="7705" width="2.85546875" style="37" customWidth="1"/>
    <col min="7706" max="7706" width="33.28515625" style="37" customWidth="1"/>
    <col min="7707" max="7707" width="4.7109375" style="37" customWidth="1"/>
    <col min="7708" max="7936" width="9.140625" style="37"/>
    <col min="7937" max="7937" width="3.42578125" style="37" customWidth="1"/>
    <col min="7938" max="7938" width="16.5703125" style="37" customWidth="1"/>
    <col min="7939" max="7939" width="4.7109375" style="37" customWidth="1"/>
    <col min="7940" max="7940" width="4.5703125" style="37" customWidth="1"/>
    <col min="7941" max="7941" width="16.85546875" style="37" customWidth="1"/>
    <col min="7942" max="7942" width="4.7109375" style="37" customWidth="1"/>
    <col min="7943" max="7943" width="5.28515625" style="37" customWidth="1"/>
    <col min="7944" max="7944" width="16.7109375" style="37" customWidth="1"/>
    <col min="7945" max="7945" width="4.7109375" style="37" customWidth="1"/>
    <col min="7946" max="7946" width="5.42578125" style="37" customWidth="1"/>
    <col min="7947" max="7947" width="16.7109375" style="37" customWidth="1"/>
    <col min="7948" max="7949" width="4.7109375" style="37" customWidth="1"/>
    <col min="7950" max="7950" width="16.7109375" style="37" customWidth="1"/>
    <col min="7951" max="7951" width="4.7109375" style="37" customWidth="1"/>
    <col min="7952" max="7952" width="2.85546875" style="37" customWidth="1"/>
    <col min="7953" max="7953" width="4.28515625" style="37" customWidth="1"/>
    <col min="7954" max="7954" width="17.140625" style="37" customWidth="1"/>
    <col min="7955" max="7955" width="4.7109375" style="37" customWidth="1"/>
    <col min="7956" max="7956" width="3" style="37" customWidth="1"/>
    <col min="7957" max="7957" width="2.42578125" style="37" customWidth="1"/>
    <col min="7958" max="7958" width="2.28515625" style="37" customWidth="1"/>
    <col min="7959" max="7959" width="20.7109375" style="37" customWidth="1"/>
    <col min="7960" max="7960" width="4.7109375" style="37" customWidth="1"/>
    <col min="7961" max="7961" width="2.85546875" style="37" customWidth="1"/>
    <col min="7962" max="7962" width="33.28515625" style="37" customWidth="1"/>
    <col min="7963" max="7963" width="4.7109375" style="37" customWidth="1"/>
    <col min="7964" max="8192" width="9.140625" style="37"/>
    <col min="8193" max="8193" width="3.42578125" style="37" customWidth="1"/>
    <col min="8194" max="8194" width="16.5703125" style="37" customWidth="1"/>
    <col min="8195" max="8195" width="4.7109375" style="37" customWidth="1"/>
    <col min="8196" max="8196" width="4.5703125" style="37" customWidth="1"/>
    <col min="8197" max="8197" width="16.85546875" style="37" customWidth="1"/>
    <col min="8198" max="8198" width="4.7109375" style="37" customWidth="1"/>
    <col min="8199" max="8199" width="5.28515625" style="37" customWidth="1"/>
    <col min="8200" max="8200" width="16.7109375" style="37" customWidth="1"/>
    <col min="8201" max="8201" width="4.7109375" style="37" customWidth="1"/>
    <col min="8202" max="8202" width="5.42578125" style="37" customWidth="1"/>
    <col min="8203" max="8203" width="16.7109375" style="37" customWidth="1"/>
    <col min="8204" max="8205" width="4.7109375" style="37" customWidth="1"/>
    <col min="8206" max="8206" width="16.7109375" style="37" customWidth="1"/>
    <col min="8207" max="8207" width="4.7109375" style="37" customWidth="1"/>
    <col min="8208" max="8208" width="2.85546875" style="37" customWidth="1"/>
    <col min="8209" max="8209" width="4.28515625" style="37" customWidth="1"/>
    <col min="8210" max="8210" width="17.140625" style="37" customWidth="1"/>
    <col min="8211" max="8211" width="4.7109375" style="37" customWidth="1"/>
    <col min="8212" max="8212" width="3" style="37" customWidth="1"/>
    <col min="8213" max="8213" width="2.42578125" style="37" customWidth="1"/>
    <col min="8214" max="8214" width="2.28515625" style="37" customWidth="1"/>
    <col min="8215" max="8215" width="20.7109375" style="37" customWidth="1"/>
    <col min="8216" max="8216" width="4.7109375" style="37" customWidth="1"/>
    <col min="8217" max="8217" width="2.85546875" style="37" customWidth="1"/>
    <col min="8218" max="8218" width="33.28515625" style="37" customWidth="1"/>
    <col min="8219" max="8219" width="4.7109375" style="37" customWidth="1"/>
    <col min="8220" max="8448" width="9.140625" style="37"/>
    <col min="8449" max="8449" width="3.42578125" style="37" customWidth="1"/>
    <col min="8450" max="8450" width="16.5703125" style="37" customWidth="1"/>
    <col min="8451" max="8451" width="4.7109375" style="37" customWidth="1"/>
    <col min="8452" max="8452" width="4.5703125" style="37" customWidth="1"/>
    <col min="8453" max="8453" width="16.85546875" style="37" customWidth="1"/>
    <col min="8454" max="8454" width="4.7109375" style="37" customWidth="1"/>
    <col min="8455" max="8455" width="5.28515625" style="37" customWidth="1"/>
    <col min="8456" max="8456" width="16.7109375" style="37" customWidth="1"/>
    <col min="8457" max="8457" width="4.7109375" style="37" customWidth="1"/>
    <col min="8458" max="8458" width="5.42578125" style="37" customWidth="1"/>
    <col min="8459" max="8459" width="16.7109375" style="37" customWidth="1"/>
    <col min="8460" max="8461" width="4.7109375" style="37" customWidth="1"/>
    <col min="8462" max="8462" width="16.7109375" style="37" customWidth="1"/>
    <col min="8463" max="8463" width="4.7109375" style="37" customWidth="1"/>
    <col min="8464" max="8464" width="2.85546875" style="37" customWidth="1"/>
    <col min="8465" max="8465" width="4.28515625" style="37" customWidth="1"/>
    <col min="8466" max="8466" width="17.140625" style="37" customWidth="1"/>
    <col min="8467" max="8467" width="4.7109375" style="37" customWidth="1"/>
    <col min="8468" max="8468" width="3" style="37" customWidth="1"/>
    <col min="8469" max="8469" width="2.42578125" style="37" customWidth="1"/>
    <col min="8470" max="8470" width="2.28515625" style="37" customWidth="1"/>
    <col min="8471" max="8471" width="20.7109375" style="37" customWidth="1"/>
    <col min="8472" max="8472" width="4.7109375" style="37" customWidth="1"/>
    <col min="8473" max="8473" width="2.85546875" style="37" customWidth="1"/>
    <col min="8474" max="8474" width="33.28515625" style="37" customWidth="1"/>
    <col min="8475" max="8475" width="4.7109375" style="37" customWidth="1"/>
    <col min="8476" max="8704" width="9.140625" style="37"/>
    <col min="8705" max="8705" width="3.42578125" style="37" customWidth="1"/>
    <col min="8706" max="8706" width="16.5703125" style="37" customWidth="1"/>
    <col min="8707" max="8707" width="4.7109375" style="37" customWidth="1"/>
    <col min="8708" max="8708" width="4.5703125" style="37" customWidth="1"/>
    <col min="8709" max="8709" width="16.85546875" style="37" customWidth="1"/>
    <col min="8710" max="8710" width="4.7109375" style="37" customWidth="1"/>
    <col min="8711" max="8711" width="5.28515625" style="37" customWidth="1"/>
    <col min="8712" max="8712" width="16.7109375" style="37" customWidth="1"/>
    <col min="8713" max="8713" width="4.7109375" style="37" customWidth="1"/>
    <col min="8714" max="8714" width="5.42578125" style="37" customWidth="1"/>
    <col min="8715" max="8715" width="16.7109375" style="37" customWidth="1"/>
    <col min="8716" max="8717" width="4.7109375" style="37" customWidth="1"/>
    <col min="8718" max="8718" width="16.7109375" style="37" customWidth="1"/>
    <col min="8719" max="8719" width="4.7109375" style="37" customWidth="1"/>
    <col min="8720" max="8720" width="2.85546875" style="37" customWidth="1"/>
    <col min="8721" max="8721" width="4.28515625" style="37" customWidth="1"/>
    <col min="8722" max="8722" width="17.140625" style="37" customWidth="1"/>
    <col min="8723" max="8723" width="4.7109375" style="37" customWidth="1"/>
    <col min="8724" max="8724" width="3" style="37" customWidth="1"/>
    <col min="8725" max="8725" width="2.42578125" style="37" customWidth="1"/>
    <col min="8726" max="8726" width="2.28515625" style="37" customWidth="1"/>
    <col min="8727" max="8727" width="20.7109375" style="37" customWidth="1"/>
    <col min="8728" max="8728" width="4.7109375" style="37" customWidth="1"/>
    <col min="8729" max="8729" width="2.85546875" style="37" customWidth="1"/>
    <col min="8730" max="8730" width="33.28515625" style="37" customWidth="1"/>
    <col min="8731" max="8731" width="4.7109375" style="37" customWidth="1"/>
    <col min="8732" max="8960" width="9.140625" style="37"/>
    <col min="8961" max="8961" width="3.42578125" style="37" customWidth="1"/>
    <col min="8962" max="8962" width="16.5703125" style="37" customWidth="1"/>
    <col min="8963" max="8963" width="4.7109375" style="37" customWidth="1"/>
    <col min="8964" max="8964" width="4.5703125" style="37" customWidth="1"/>
    <col min="8965" max="8965" width="16.85546875" style="37" customWidth="1"/>
    <col min="8966" max="8966" width="4.7109375" style="37" customWidth="1"/>
    <col min="8967" max="8967" width="5.28515625" style="37" customWidth="1"/>
    <col min="8968" max="8968" width="16.7109375" style="37" customWidth="1"/>
    <col min="8969" max="8969" width="4.7109375" style="37" customWidth="1"/>
    <col min="8970" max="8970" width="5.42578125" style="37" customWidth="1"/>
    <col min="8971" max="8971" width="16.7109375" style="37" customWidth="1"/>
    <col min="8972" max="8973" width="4.7109375" style="37" customWidth="1"/>
    <col min="8974" max="8974" width="16.7109375" style="37" customWidth="1"/>
    <col min="8975" max="8975" width="4.7109375" style="37" customWidth="1"/>
    <col min="8976" max="8976" width="2.85546875" style="37" customWidth="1"/>
    <col min="8977" max="8977" width="4.28515625" style="37" customWidth="1"/>
    <col min="8978" max="8978" width="17.140625" style="37" customWidth="1"/>
    <col min="8979" max="8979" width="4.7109375" style="37" customWidth="1"/>
    <col min="8980" max="8980" width="3" style="37" customWidth="1"/>
    <col min="8981" max="8981" width="2.42578125" style="37" customWidth="1"/>
    <col min="8982" max="8982" width="2.28515625" style="37" customWidth="1"/>
    <col min="8983" max="8983" width="20.7109375" style="37" customWidth="1"/>
    <col min="8984" max="8984" width="4.7109375" style="37" customWidth="1"/>
    <col min="8985" max="8985" width="2.85546875" style="37" customWidth="1"/>
    <col min="8986" max="8986" width="33.28515625" style="37" customWidth="1"/>
    <col min="8987" max="8987" width="4.7109375" style="37" customWidth="1"/>
    <col min="8988" max="9216" width="9.140625" style="37"/>
    <col min="9217" max="9217" width="3.42578125" style="37" customWidth="1"/>
    <col min="9218" max="9218" width="16.5703125" style="37" customWidth="1"/>
    <col min="9219" max="9219" width="4.7109375" style="37" customWidth="1"/>
    <col min="9220" max="9220" width="4.5703125" style="37" customWidth="1"/>
    <col min="9221" max="9221" width="16.85546875" style="37" customWidth="1"/>
    <col min="9222" max="9222" width="4.7109375" style="37" customWidth="1"/>
    <col min="9223" max="9223" width="5.28515625" style="37" customWidth="1"/>
    <col min="9224" max="9224" width="16.7109375" style="37" customWidth="1"/>
    <col min="9225" max="9225" width="4.7109375" style="37" customWidth="1"/>
    <col min="9226" max="9226" width="5.42578125" style="37" customWidth="1"/>
    <col min="9227" max="9227" width="16.7109375" style="37" customWidth="1"/>
    <col min="9228" max="9229" width="4.7109375" style="37" customWidth="1"/>
    <col min="9230" max="9230" width="16.7109375" style="37" customWidth="1"/>
    <col min="9231" max="9231" width="4.7109375" style="37" customWidth="1"/>
    <col min="9232" max="9232" width="2.85546875" style="37" customWidth="1"/>
    <col min="9233" max="9233" width="4.28515625" style="37" customWidth="1"/>
    <col min="9234" max="9234" width="17.140625" style="37" customWidth="1"/>
    <col min="9235" max="9235" width="4.7109375" style="37" customWidth="1"/>
    <col min="9236" max="9236" width="3" style="37" customWidth="1"/>
    <col min="9237" max="9237" width="2.42578125" style="37" customWidth="1"/>
    <col min="9238" max="9238" width="2.28515625" style="37" customWidth="1"/>
    <col min="9239" max="9239" width="20.7109375" style="37" customWidth="1"/>
    <col min="9240" max="9240" width="4.7109375" style="37" customWidth="1"/>
    <col min="9241" max="9241" width="2.85546875" style="37" customWidth="1"/>
    <col min="9242" max="9242" width="33.28515625" style="37" customWidth="1"/>
    <col min="9243" max="9243" width="4.7109375" style="37" customWidth="1"/>
    <col min="9244" max="9472" width="9.140625" style="37"/>
    <col min="9473" max="9473" width="3.42578125" style="37" customWidth="1"/>
    <col min="9474" max="9474" width="16.5703125" style="37" customWidth="1"/>
    <col min="9475" max="9475" width="4.7109375" style="37" customWidth="1"/>
    <col min="9476" max="9476" width="4.5703125" style="37" customWidth="1"/>
    <col min="9477" max="9477" width="16.85546875" style="37" customWidth="1"/>
    <col min="9478" max="9478" width="4.7109375" style="37" customWidth="1"/>
    <col min="9479" max="9479" width="5.28515625" style="37" customWidth="1"/>
    <col min="9480" max="9480" width="16.7109375" style="37" customWidth="1"/>
    <col min="9481" max="9481" width="4.7109375" style="37" customWidth="1"/>
    <col min="9482" max="9482" width="5.42578125" style="37" customWidth="1"/>
    <col min="9483" max="9483" width="16.7109375" style="37" customWidth="1"/>
    <col min="9484" max="9485" width="4.7109375" style="37" customWidth="1"/>
    <col min="9486" max="9486" width="16.7109375" style="37" customWidth="1"/>
    <col min="9487" max="9487" width="4.7109375" style="37" customWidth="1"/>
    <col min="9488" max="9488" width="2.85546875" style="37" customWidth="1"/>
    <col min="9489" max="9489" width="4.28515625" style="37" customWidth="1"/>
    <col min="9490" max="9490" width="17.140625" style="37" customWidth="1"/>
    <col min="9491" max="9491" width="4.7109375" style="37" customWidth="1"/>
    <col min="9492" max="9492" width="3" style="37" customWidth="1"/>
    <col min="9493" max="9493" width="2.42578125" style="37" customWidth="1"/>
    <col min="9494" max="9494" width="2.28515625" style="37" customWidth="1"/>
    <col min="9495" max="9495" width="20.7109375" style="37" customWidth="1"/>
    <col min="9496" max="9496" width="4.7109375" style="37" customWidth="1"/>
    <col min="9497" max="9497" width="2.85546875" style="37" customWidth="1"/>
    <col min="9498" max="9498" width="33.28515625" style="37" customWidth="1"/>
    <col min="9499" max="9499" width="4.7109375" style="37" customWidth="1"/>
    <col min="9500" max="9728" width="9.140625" style="37"/>
    <col min="9729" max="9729" width="3.42578125" style="37" customWidth="1"/>
    <col min="9730" max="9730" width="16.5703125" style="37" customWidth="1"/>
    <col min="9731" max="9731" width="4.7109375" style="37" customWidth="1"/>
    <col min="9732" max="9732" width="4.5703125" style="37" customWidth="1"/>
    <col min="9733" max="9733" width="16.85546875" style="37" customWidth="1"/>
    <col min="9734" max="9734" width="4.7109375" style="37" customWidth="1"/>
    <col min="9735" max="9735" width="5.28515625" style="37" customWidth="1"/>
    <col min="9736" max="9736" width="16.7109375" style="37" customWidth="1"/>
    <col min="9737" max="9737" width="4.7109375" style="37" customWidth="1"/>
    <col min="9738" max="9738" width="5.42578125" style="37" customWidth="1"/>
    <col min="9739" max="9739" width="16.7109375" style="37" customWidth="1"/>
    <col min="9740" max="9741" width="4.7109375" style="37" customWidth="1"/>
    <col min="9742" max="9742" width="16.7109375" style="37" customWidth="1"/>
    <col min="9743" max="9743" width="4.7109375" style="37" customWidth="1"/>
    <col min="9744" max="9744" width="2.85546875" style="37" customWidth="1"/>
    <col min="9745" max="9745" width="4.28515625" style="37" customWidth="1"/>
    <col min="9746" max="9746" width="17.140625" style="37" customWidth="1"/>
    <col min="9747" max="9747" width="4.7109375" style="37" customWidth="1"/>
    <col min="9748" max="9748" width="3" style="37" customWidth="1"/>
    <col min="9749" max="9749" width="2.42578125" style="37" customWidth="1"/>
    <col min="9750" max="9750" width="2.28515625" style="37" customWidth="1"/>
    <col min="9751" max="9751" width="20.7109375" style="37" customWidth="1"/>
    <col min="9752" max="9752" width="4.7109375" style="37" customWidth="1"/>
    <col min="9753" max="9753" width="2.85546875" style="37" customWidth="1"/>
    <col min="9754" max="9754" width="33.28515625" style="37" customWidth="1"/>
    <col min="9755" max="9755" width="4.7109375" style="37" customWidth="1"/>
    <col min="9756" max="9984" width="9.140625" style="37"/>
    <col min="9985" max="9985" width="3.42578125" style="37" customWidth="1"/>
    <col min="9986" max="9986" width="16.5703125" style="37" customWidth="1"/>
    <col min="9987" max="9987" width="4.7109375" style="37" customWidth="1"/>
    <col min="9988" max="9988" width="4.5703125" style="37" customWidth="1"/>
    <col min="9989" max="9989" width="16.85546875" style="37" customWidth="1"/>
    <col min="9990" max="9990" width="4.7109375" style="37" customWidth="1"/>
    <col min="9991" max="9991" width="5.28515625" style="37" customWidth="1"/>
    <col min="9992" max="9992" width="16.7109375" style="37" customWidth="1"/>
    <col min="9993" max="9993" width="4.7109375" style="37" customWidth="1"/>
    <col min="9994" max="9994" width="5.42578125" style="37" customWidth="1"/>
    <col min="9995" max="9995" width="16.7109375" style="37" customWidth="1"/>
    <col min="9996" max="9997" width="4.7109375" style="37" customWidth="1"/>
    <col min="9998" max="9998" width="16.7109375" style="37" customWidth="1"/>
    <col min="9999" max="9999" width="4.7109375" style="37" customWidth="1"/>
    <col min="10000" max="10000" width="2.85546875" style="37" customWidth="1"/>
    <col min="10001" max="10001" width="4.28515625" style="37" customWidth="1"/>
    <col min="10002" max="10002" width="17.140625" style="37" customWidth="1"/>
    <col min="10003" max="10003" width="4.7109375" style="37" customWidth="1"/>
    <col min="10004" max="10004" width="3" style="37" customWidth="1"/>
    <col min="10005" max="10005" width="2.42578125" style="37" customWidth="1"/>
    <col min="10006" max="10006" width="2.28515625" style="37" customWidth="1"/>
    <col min="10007" max="10007" width="20.7109375" style="37" customWidth="1"/>
    <col min="10008" max="10008" width="4.7109375" style="37" customWidth="1"/>
    <col min="10009" max="10009" width="2.85546875" style="37" customWidth="1"/>
    <col min="10010" max="10010" width="33.28515625" style="37" customWidth="1"/>
    <col min="10011" max="10011" width="4.7109375" style="37" customWidth="1"/>
    <col min="10012" max="10240" width="9.140625" style="37"/>
    <col min="10241" max="10241" width="3.42578125" style="37" customWidth="1"/>
    <col min="10242" max="10242" width="16.5703125" style="37" customWidth="1"/>
    <col min="10243" max="10243" width="4.7109375" style="37" customWidth="1"/>
    <col min="10244" max="10244" width="4.5703125" style="37" customWidth="1"/>
    <col min="10245" max="10245" width="16.85546875" style="37" customWidth="1"/>
    <col min="10246" max="10246" width="4.7109375" style="37" customWidth="1"/>
    <col min="10247" max="10247" width="5.28515625" style="37" customWidth="1"/>
    <col min="10248" max="10248" width="16.7109375" style="37" customWidth="1"/>
    <col min="10249" max="10249" width="4.7109375" style="37" customWidth="1"/>
    <col min="10250" max="10250" width="5.42578125" style="37" customWidth="1"/>
    <col min="10251" max="10251" width="16.7109375" style="37" customWidth="1"/>
    <col min="10252" max="10253" width="4.7109375" style="37" customWidth="1"/>
    <col min="10254" max="10254" width="16.7109375" style="37" customWidth="1"/>
    <col min="10255" max="10255" width="4.7109375" style="37" customWidth="1"/>
    <col min="10256" max="10256" width="2.85546875" style="37" customWidth="1"/>
    <col min="10257" max="10257" width="4.28515625" style="37" customWidth="1"/>
    <col min="10258" max="10258" width="17.140625" style="37" customWidth="1"/>
    <col min="10259" max="10259" width="4.7109375" style="37" customWidth="1"/>
    <col min="10260" max="10260" width="3" style="37" customWidth="1"/>
    <col min="10261" max="10261" width="2.42578125" style="37" customWidth="1"/>
    <col min="10262" max="10262" width="2.28515625" style="37" customWidth="1"/>
    <col min="10263" max="10263" width="20.7109375" style="37" customWidth="1"/>
    <col min="10264" max="10264" width="4.7109375" style="37" customWidth="1"/>
    <col min="10265" max="10265" width="2.85546875" style="37" customWidth="1"/>
    <col min="10266" max="10266" width="33.28515625" style="37" customWidth="1"/>
    <col min="10267" max="10267" width="4.7109375" style="37" customWidth="1"/>
    <col min="10268" max="10496" width="9.140625" style="37"/>
    <col min="10497" max="10497" width="3.42578125" style="37" customWidth="1"/>
    <col min="10498" max="10498" width="16.5703125" style="37" customWidth="1"/>
    <col min="10499" max="10499" width="4.7109375" style="37" customWidth="1"/>
    <col min="10500" max="10500" width="4.5703125" style="37" customWidth="1"/>
    <col min="10501" max="10501" width="16.85546875" style="37" customWidth="1"/>
    <col min="10502" max="10502" width="4.7109375" style="37" customWidth="1"/>
    <col min="10503" max="10503" width="5.28515625" style="37" customWidth="1"/>
    <col min="10504" max="10504" width="16.7109375" style="37" customWidth="1"/>
    <col min="10505" max="10505" width="4.7109375" style="37" customWidth="1"/>
    <col min="10506" max="10506" width="5.42578125" style="37" customWidth="1"/>
    <col min="10507" max="10507" width="16.7109375" style="37" customWidth="1"/>
    <col min="10508" max="10509" width="4.7109375" style="37" customWidth="1"/>
    <col min="10510" max="10510" width="16.7109375" style="37" customWidth="1"/>
    <col min="10511" max="10511" width="4.7109375" style="37" customWidth="1"/>
    <col min="10512" max="10512" width="2.85546875" style="37" customWidth="1"/>
    <col min="10513" max="10513" width="4.28515625" style="37" customWidth="1"/>
    <col min="10514" max="10514" width="17.140625" style="37" customWidth="1"/>
    <col min="10515" max="10515" width="4.7109375" style="37" customWidth="1"/>
    <col min="10516" max="10516" width="3" style="37" customWidth="1"/>
    <col min="10517" max="10517" width="2.42578125" style="37" customWidth="1"/>
    <col min="10518" max="10518" width="2.28515625" style="37" customWidth="1"/>
    <col min="10519" max="10519" width="20.7109375" style="37" customWidth="1"/>
    <col min="10520" max="10520" width="4.7109375" style="37" customWidth="1"/>
    <col min="10521" max="10521" width="2.85546875" style="37" customWidth="1"/>
    <col min="10522" max="10522" width="33.28515625" style="37" customWidth="1"/>
    <col min="10523" max="10523" width="4.7109375" style="37" customWidth="1"/>
    <col min="10524" max="10752" width="9.140625" style="37"/>
    <col min="10753" max="10753" width="3.42578125" style="37" customWidth="1"/>
    <col min="10754" max="10754" width="16.5703125" style="37" customWidth="1"/>
    <col min="10755" max="10755" width="4.7109375" style="37" customWidth="1"/>
    <col min="10756" max="10756" width="4.5703125" style="37" customWidth="1"/>
    <col min="10757" max="10757" width="16.85546875" style="37" customWidth="1"/>
    <col min="10758" max="10758" width="4.7109375" style="37" customWidth="1"/>
    <col min="10759" max="10759" width="5.28515625" style="37" customWidth="1"/>
    <col min="10760" max="10760" width="16.7109375" style="37" customWidth="1"/>
    <col min="10761" max="10761" width="4.7109375" style="37" customWidth="1"/>
    <col min="10762" max="10762" width="5.42578125" style="37" customWidth="1"/>
    <col min="10763" max="10763" width="16.7109375" style="37" customWidth="1"/>
    <col min="10764" max="10765" width="4.7109375" style="37" customWidth="1"/>
    <col min="10766" max="10766" width="16.7109375" style="37" customWidth="1"/>
    <col min="10767" max="10767" width="4.7109375" style="37" customWidth="1"/>
    <col min="10768" max="10768" width="2.85546875" style="37" customWidth="1"/>
    <col min="10769" max="10769" width="4.28515625" style="37" customWidth="1"/>
    <col min="10770" max="10770" width="17.140625" style="37" customWidth="1"/>
    <col min="10771" max="10771" width="4.7109375" style="37" customWidth="1"/>
    <col min="10772" max="10772" width="3" style="37" customWidth="1"/>
    <col min="10773" max="10773" width="2.42578125" style="37" customWidth="1"/>
    <col min="10774" max="10774" width="2.28515625" style="37" customWidth="1"/>
    <col min="10775" max="10775" width="20.7109375" style="37" customWidth="1"/>
    <col min="10776" max="10776" width="4.7109375" style="37" customWidth="1"/>
    <col min="10777" max="10777" width="2.85546875" style="37" customWidth="1"/>
    <col min="10778" max="10778" width="33.28515625" style="37" customWidth="1"/>
    <col min="10779" max="10779" width="4.7109375" style="37" customWidth="1"/>
    <col min="10780" max="11008" width="9.140625" style="37"/>
    <col min="11009" max="11009" width="3.42578125" style="37" customWidth="1"/>
    <col min="11010" max="11010" width="16.5703125" style="37" customWidth="1"/>
    <col min="11011" max="11011" width="4.7109375" style="37" customWidth="1"/>
    <col min="11012" max="11012" width="4.5703125" style="37" customWidth="1"/>
    <col min="11013" max="11013" width="16.85546875" style="37" customWidth="1"/>
    <col min="11014" max="11014" width="4.7109375" style="37" customWidth="1"/>
    <col min="11015" max="11015" width="5.28515625" style="37" customWidth="1"/>
    <col min="11016" max="11016" width="16.7109375" style="37" customWidth="1"/>
    <col min="11017" max="11017" width="4.7109375" style="37" customWidth="1"/>
    <col min="11018" max="11018" width="5.42578125" style="37" customWidth="1"/>
    <col min="11019" max="11019" width="16.7109375" style="37" customWidth="1"/>
    <col min="11020" max="11021" width="4.7109375" style="37" customWidth="1"/>
    <col min="11022" max="11022" width="16.7109375" style="37" customWidth="1"/>
    <col min="11023" max="11023" width="4.7109375" style="37" customWidth="1"/>
    <col min="11024" max="11024" width="2.85546875" style="37" customWidth="1"/>
    <col min="11025" max="11025" width="4.28515625" style="37" customWidth="1"/>
    <col min="11026" max="11026" width="17.140625" style="37" customWidth="1"/>
    <col min="11027" max="11027" width="4.7109375" style="37" customWidth="1"/>
    <col min="11028" max="11028" width="3" style="37" customWidth="1"/>
    <col min="11029" max="11029" width="2.42578125" style="37" customWidth="1"/>
    <col min="11030" max="11030" width="2.28515625" style="37" customWidth="1"/>
    <col min="11031" max="11031" width="20.7109375" style="37" customWidth="1"/>
    <col min="11032" max="11032" width="4.7109375" style="37" customWidth="1"/>
    <col min="11033" max="11033" width="2.85546875" style="37" customWidth="1"/>
    <col min="11034" max="11034" width="33.28515625" style="37" customWidth="1"/>
    <col min="11035" max="11035" width="4.7109375" style="37" customWidth="1"/>
    <col min="11036" max="11264" width="9.140625" style="37"/>
    <col min="11265" max="11265" width="3.42578125" style="37" customWidth="1"/>
    <col min="11266" max="11266" width="16.5703125" style="37" customWidth="1"/>
    <col min="11267" max="11267" width="4.7109375" style="37" customWidth="1"/>
    <col min="11268" max="11268" width="4.5703125" style="37" customWidth="1"/>
    <col min="11269" max="11269" width="16.85546875" style="37" customWidth="1"/>
    <col min="11270" max="11270" width="4.7109375" style="37" customWidth="1"/>
    <col min="11271" max="11271" width="5.28515625" style="37" customWidth="1"/>
    <col min="11272" max="11272" width="16.7109375" style="37" customWidth="1"/>
    <col min="11273" max="11273" width="4.7109375" style="37" customWidth="1"/>
    <col min="11274" max="11274" width="5.42578125" style="37" customWidth="1"/>
    <col min="11275" max="11275" width="16.7109375" style="37" customWidth="1"/>
    <col min="11276" max="11277" width="4.7109375" style="37" customWidth="1"/>
    <col min="11278" max="11278" width="16.7109375" style="37" customWidth="1"/>
    <col min="11279" max="11279" width="4.7109375" style="37" customWidth="1"/>
    <col min="11280" max="11280" width="2.85546875" style="37" customWidth="1"/>
    <col min="11281" max="11281" width="4.28515625" style="37" customWidth="1"/>
    <col min="11282" max="11282" width="17.140625" style="37" customWidth="1"/>
    <col min="11283" max="11283" width="4.7109375" style="37" customWidth="1"/>
    <col min="11284" max="11284" width="3" style="37" customWidth="1"/>
    <col min="11285" max="11285" width="2.42578125" style="37" customWidth="1"/>
    <col min="11286" max="11286" width="2.28515625" style="37" customWidth="1"/>
    <col min="11287" max="11287" width="20.7109375" style="37" customWidth="1"/>
    <col min="11288" max="11288" width="4.7109375" style="37" customWidth="1"/>
    <col min="11289" max="11289" width="2.85546875" style="37" customWidth="1"/>
    <col min="11290" max="11290" width="33.28515625" style="37" customWidth="1"/>
    <col min="11291" max="11291" width="4.7109375" style="37" customWidth="1"/>
    <col min="11292" max="11520" width="9.140625" style="37"/>
    <col min="11521" max="11521" width="3.42578125" style="37" customWidth="1"/>
    <col min="11522" max="11522" width="16.5703125" style="37" customWidth="1"/>
    <col min="11523" max="11523" width="4.7109375" style="37" customWidth="1"/>
    <col min="11524" max="11524" width="4.5703125" style="37" customWidth="1"/>
    <col min="11525" max="11525" width="16.85546875" style="37" customWidth="1"/>
    <col min="11526" max="11526" width="4.7109375" style="37" customWidth="1"/>
    <col min="11527" max="11527" width="5.28515625" style="37" customWidth="1"/>
    <col min="11528" max="11528" width="16.7109375" style="37" customWidth="1"/>
    <col min="11529" max="11529" width="4.7109375" style="37" customWidth="1"/>
    <col min="11530" max="11530" width="5.42578125" style="37" customWidth="1"/>
    <col min="11531" max="11531" width="16.7109375" style="37" customWidth="1"/>
    <col min="11532" max="11533" width="4.7109375" style="37" customWidth="1"/>
    <col min="11534" max="11534" width="16.7109375" style="37" customWidth="1"/>
    <col min="11535" max="11535" width="4.7109375" style="37" customWidth="1"/>
    <col min="11536" max="11536" width="2.85546875" style="37" customWidth="1"/>
    <col min="11537" max="11537" width="4.28515625" style="37" customWidth="1"/>
    <col min="11538" max="11538" width="17.140625" style="37" customWidth="1"/>
    <col min="11539" max="11539" width="4.7109375" style="37" customWidth="1"/>
    <col min="11540" max="11540" width="3" style="37" customWidth="1"/>
    <col min="11541" max="11541" width="2.42578125" style="37" customWidth="1"/>
    <col min="11542" max="11542" width="2.28515625" style="37" customWidth="1"/>
    <col min="11543" max="11543" width="20.7109375" style="37" customWidth="1"/>
    <col min="11544" max="11544" width="4.7109375" style="37" customWidth="1"/>
    <col min="11545" max="11545" width="2.85546875" style="37" customWidth="1"/>
    <col min="11546" max="11546" width="33.28515625" style="37" customWidth="1"/>
    <col min="11547" max="11547" width="4.7109375" style="37" customWidth="1"/>
    <col min="11548" max="11776" width="9.140625" style="37"/>
    <col min="11777" max="11777" width="3.42578125" style="37" customWidth="1"/>
    <col min="11778" max="11778" width="16.5703125" style="37" customWidth="1"/>
    <col min="11779" max="11779" width="4.7109375" style="37" customWidth="1"/>
    <col min="11780" max="11780" width="4.5703125" style="37" customWidth="1"/>
    <col min="11781" max="11781" width="16.85546875" style="37" customWidth="1"/>
    <col min="11782" max="11782" width="4.7109375" style="37" customWidth="1"/>
    <col min="11783" max="11783" width="5.28515625" style="37" customWidth="1"/>
    <col min="11784" max="11784" width="16.7109375" style="37" customWidth="1"/>
    <col min="11785" max="11785" width="4.7109375" style="37" customWidth="1"/>
    <col min="11786" max="11786" width="5.42578125" style="37" customWidth="1"/>
    <col min="11787" max="11787" width="16.7109375" style="37" customWidth="1"/>
    <col min="11788" max="11789" width="4.7109375" style="37" customWidth="1"/>
    <col min="11790" max="11790" width="16.7109375" style="37" customWidth="1"/>
    <col min="11791" max="11791" width="4.7109375" style="37" customWidth="1"/>
    <col min="11792" max="11792" width="2.85546875" style="37" customWidth="1"/>
    <col min="11793" max="11793" width="4.28515625" style="37" customWidth="1"/>
    <col min="11794" max="11794" width="17.140625" style="37" customWidth="1"/>
    <col min="11795" max="11795" width="4.7109375" style="37" customWidth="1"/>
    <col min="11796" max="11796" width="3" style="37" customWidth="1"/>
    <col min="11797" max="11797" width="2.42578125" style="37" customWidth="1"/>
    <col min="11798" max="11798" width="2.28515625" style="37" customWidth="1"/>
    <col min="11799" max="11799" width="20.7109375" style="37" customWidth="1"/>
    <col min="11800" max="11800" width="4.7109375" style="37" customWidth="1"/>
    <col min="11801" max="11801" width="2.85546875" style="37" customWidth="1"/>
    <col min="11802" max="11802" width="33.28515625" style="37" customWidth="1"/>
    <col min="11803" max="11803" width="4.7109375" style="37" customWidth="1"/>
    <col min="11804" max="12032" width="9.140625" style="37"/>
    <col min="12033" max="12033" width="3.42578125" style="37" customWidth="1"/>
    <col min="12034" max="12034" width="16.5703125" style="37" customWidth="1"/>
    <col min="12035" max="12035" width="4.7109375" style="37" customWidth="1"/>
    <col min="12036" max="12036" width="4.5703125" style="37" customWidth="1"/>
    <col min="12037" max="12037" width="16.85546875" style="37" customWidth="1"/>
    <col min="12038" max="12038" width="4.7109375" style="37" customWidth="1"/>
    <col min="12039" max="12039" width="5.28515625" style="37" customWidth="1"/>
    <col min="12040" max="12040" width="16.7109375" style="37" customWidth="1"/>
    <col min="12041" max="12041" width="4.7109375" style="37" customWidth="1"/>
    <col min="12042" max="12042" width="5.42578125" style="37" customWidth="1"/>
    <col min="12043" max="12043" width="16.7109375" style="37" customWidth="1"/>
    <col min="12044" max="12045" width="4.7109375" style="37" customWidth="1"/>
    <col min="12046" max="12046" width="16.7109375" style="37" customWidth="1"/>
    <col min="12047" max="12047" width="4.7109375" style="37" customWidth="1"/>
    <col min="12048" max="12048" width="2.85546875" style="37" customWidth="1"/>
    <col min="12049" max="12049" width="4.28515625" style="37" customWidth="1"/>
    <col min="12050" max="12050" width="17.140625" style="37" customWidth="1"/>
    <col min="12051" max="12051" width="4.7109375" style="37" customWidth="1"/>
    <col min="12052" max="12052" width="3" style="37" customWidth="1"/>
    <col min="12053" max="12053" width="2.42578125" style="37" customWidth="1"/>
    <col min="12054" max="12054" width="2.28515625" style="37" customWidth="1"/>
    <col min="12055" max="12055" width="20.7109375" style="37" customWidth="1"/>
    <col min="12056" max="12056" width="4.7109375" style="37" customWidth="1"/>
    <col min="12057" max="12057" width="2.85546875" style="37" customWidth="1"/>
    <col min="12058" max="12058" width="33.28515625" style="37" customWidth="1"/>
    <col min="12059" max="12059" width="4.7109375" style="37" customWidth="1"/>
    <col min="12060" max="12288" width="9.140625" style="37"/>
    <col min="12289" max="12289" width="3.42578125" style="37" customWidth="1"/>
    <col min="12290" max="12290" width="16.5703125" style="37" customWidth="1"/>
    <col min="12291" max="12291" width="4.7109375" style="37" customWidth="1"/>
    <col min="12292" max="12292" width="4.5703125" style="37" customWidth="1"/>
    <col min="12293" max="12293" width="16.85546875" style="37" customWidth="1"/>
    <col min="12294" max="12294" width="4.7109375" style="37" customWidth="1"/>
    <col min="12295" max="12295" width="5.28515625" style="37" customWidth="1"/>
    <col min="12296" max="12296" width="16.7109375" style="37" customWidth="1"/>
    <col min="12297" max="12297" width="4.7109375" style="37" customWidth="1"/>
    <col min="12298" max="12298" width="5.42578125" style="37" customWidth="1"/>
    <col min="12299" max="12299" width="16.7109375" style="37" customWidth="1"/>
    <col min="12300" max="12301" width="4.7109375" style="37" customWidth="1"/>
    <col min="12302" max="12302" width="16.7109375" style="37" customWidth="1"/>
    <col min="12303" max="12303" width="4.7109375" style="37" customWidth="1"/>
    <col min="12304" max="12304" width="2.85546875" style="37" customWidth="1"/>
    <col min="12305" max="12305" width="4.28515625" style="37" customWidth="1"/>
    <col min="12306" max="12306" width="17.140625" style="37" customWidth="1"/>
    <col min="12307" max="12307" width="4.7109375" style="37" customWidth="1"/>
    <col min="12308" max="12308" width="3" style="37" customWidth="1"/>
    <col min="12309" max="12309" width="2.42578125" style="37" customWidth="1"/>
    <col min="12310" max="12310" width="2.28515625" style="37" customWidth="1"/>
    <col min="12311" max="12311" width="20.7109375" style="37" customWidth="1"/>
    <col min="12312" max="12312" width="4.7109375" style="37" customWidth="1"/>
    <col min="12313" max="12313" width="2.85546875" style="37" customWidth="1"/>
    <col min="12314" max="12314" width="33.28515625" style="37" customWidth="1"/>
    <col min="12315" max="12315" width="4.7109375" style="37" customWidth="1"/>
    <col min="12316" max="12544" width="9.140625" style="37"/>
    <col min="12545" max="12545" width="3.42578125" style="37" customWidth="1"/>
    <col min="12546" max="12546" width="16.5703125" style="37" customWidth="1"/>
    <col min="12547" max="12547" width="4.7109375" style="37" customWidth="1"/>
    <col min="12548" max="12548" width="4.5703125" style="37" customWidth="1"/>
    <col min="12549" max="12549" width="16.85546875" style="37" customWidth="1"/>
    <col min="12550" max="12550" width="4.7109375" style="37" customWidth="1"/>
    <col min="12551" max="12551" width="5.28515625" style="37" customWidth="1"/>
    <col min="12552" max="12552" width="16.7109375" style="37" customWidth="1"/>
    <col min="12553" max="12553" width="4.7109375" style="37" customWidth="1"/>
    <col min="12554" max="12554" width="5.42578125" style="37" customWidth="1"/>
    <col min="12555" max="12555" width="16.7109375" style="37" customWidth="1"/>
    <col min="12556" max="12557" width="4.7109375" style="37" customWidth="1"/>
    <col min="12558" max="12558" width="16.7109375" style="37" customWidth="1"/>
    <col min="12559" max="12559" width="4.7109375" style="37" customWidth="1"/>
    <col min="12560" max="12560" width="2.85546875" style="37" customWidth="1"/>
    <col min="12561" max="12561" width="4.28515625" style="37" customWidth="1"/>
    <col min="12562" max="12562" width="17.140625" style="37" customWidth="1"/>
    <col min="12563" max="12563" width="4.7109375" style="37" customWidth="1"/>
    <col min="12564" max="12564" width="3" style="37" customWidth="1"/>
    <col min="12565" max="12565" width="2.42578125" style="37" customWidth="1"/>
    <col min="12566" max="12566" width="2.28515625" style="37" customWidth="1"/>
    <col min="12567" max="12567" width="20.7109375" style="37" customWidth="1"/>
    <col min="12568" max="12568" width="4.7109375" style="37" customWidth="1"/>
    <col min="12569" max="12569" width="2.85546875" style="37" customWidth="1"/>
    <col min="12570" max="12570" width="33.28515625" style="37" customWidth="1"/>
    <col min="12571" max="12571" width="4.7109375" style="37" customWidth="1"/>
    <col min="12572" max="12800" width="9.140625" style="37"/>
    <col min="12801" max="12801" width="3.42578125" style="37" customWidth="1"/>
    <col min="12802" max="12802" width="16.5703125" style="37" customWidth="1"/>
    <col min="12803" max="12803" width="4.7109375" style="37" customWidth="1"/>
    <col min="12804" max="12804" width="4.5703125" style="37" customWidth="1"/>
    <col min="12805" max="12805" width="16.85546875" style="37" customWidth="1"/>
    <col min="12806" max="12806" width="4.7109375" style="37" customWidth="1"/>
    <col min="12807" max="12807" width="5.28515625" style="37" customWidth="1"/>
    <col min="12808" max="12808" width="16.7109375" style="37" customWidth="1"/>
    <col min="12809" max="12809" width="4.7109375" style="37" customWidth="1"/>
    <col min="12810" max="12810" width="5.42578125" style="37" customWidth="1"/>
    <col min="12811" max="12811" width="16.7109375" style="37" customWidth="1"/>
    <col min="12812" max="12813" width="4.7109375" style="37" customWidth="1"/>
    <col min="12814" max="12814" width="16.7109375" style="37" customWidth="1"/>
    <col min="12815" max="12815" width="4.7109375" style="37" customWidth="1"/>
    <col min="12816" max="12816" width="2.85546875" style="37" customWidth="1"/>
    <col min="12817" max="12817" width="4.28515625" style="37" customWidth="1"/>
    <col min="12818" max="12818" width="17.140625" style="37" customWidth="1"/>
    <col min="12819" max="12819" width="4.7109375" style="37" customWidth="1"/>
    <col min="12820" max="12820" width="3" style="37" customWidth="1"/>
    <col min="12821" max="12821" width="2.42578125" style="37" customWidth="1"/>
    <col min="12822" max="12822" width="2.28515625" style="37" customWidth="1"/>
    <col min="12823" max="12823" width="20.7109375" style="37" customWidth="1"/>
    <col min="12824" max="12824" width="4.7109375" style="37" customWidth="1"/>
    <col min="12825" max="12825" width="2.85546875" style="37" customWidth="1"/>
    <col min="12826" max="12826" width="33.28515625" style="37" customWidth="1"/>
    <col min="12827" max="12827" width="4.7109375" style="37" customWidth="1"/>
    <col min="12828" max="13056" width="9.140625" style="37"/>
    <col min="13057" max="13057" width="3.42578125" style="37" customWidth="1"/>
    <col min="13058" max="13058" width="16.5703125" style="37" customWidth="1"/>
    <col min="13059" max="13059" width="4.7109375" style="37" customWidth="1"/>
    <col min="13060" max="13060" width="4.5703125" style="37" customWidth="1"/>
    <col min="13061" max="13061" width="16.85546875" style="37" customWidth="1"/>
    <col min="13062" max="13062" width="4.7109375" style="37" customWidth="1"/>
    <col min="13063" max="13063" width="5.28515625" style="37" customWidth="1"/>
    <col min="13064" max="13064" width="16.7109375" style="37" customWidth="1"/>
    <col min="13065" max="13065" width="4.7109375" style="37" customWidth="1"/>
    <col min="13066" max="13066" width="5.42578125" style="37" customWidth="1"/>
    <col min="13067" max="13067" width="16.7109375" style="37" customWidth="1"/>
    <col min="13068" max="13069" width="4.7109375" style="37" customWidth="1"/>
    <col min="13070" max="13070" width="16.7109375" style="37" customWidth="1"/>
    <col min="13071" max="13071" width="4.7109375" style="37" customWidth="1"/>
    <col min="13072" max="13072" width="2.85546875" style="37" customWidth="1"/>
    <col min="13073" max="13073" width="4.28515625" style="37" customWidth="1"/>
    <col min="13074" max="13074" width="17.140625" style="37" customWidth="1"/>
    <col min="13075" max="13075" width="4.7109375" style="37" customWidth="1"/>
    <col min="13076" max="13076" width="3" style="37" customWidth="1"/>
    <col min="13077" max="13077" width="2.42578125" style="37" customWidth="1"/>
    <col min="13078" max="13078" width="2.28515625" style="37" customWidth="1"/>
    <col min="13079" max="13079" width="20.7109375" style="37" customWidth="1"/>
    <col min="13080" max="13080" width="4.7109375" style="37" customWidth="1"/>
    <col min="13081" max="13081" width="2.85546875" style="37" customWidth="1"/>
    <col min="13082" max="13082" width="33.28515625" style="37" customWidth="1"/>
    <col min="13083" max="13083" width="4.7109375" style="37" customWidth="1"/>
    <col min="13084" max="13312" width="9.140625" style="37"/>
    <col min="13313" max="13313" width="3.42578125" style="37" customWidth="1"/>
    <col min="13314" max="13314" width="16.5703125" style="37" customWidth="1"/>
    <col min="13315" max="13315" width="4.7109375" style="37" customWidth="1"/>
    <col min="13316" max="13316" width="4.5703125" style="37" customWidth="1"/>
    <col min="13317" max="13317" width="16.85546875" style="37" customWidth="1"/>
    <col min="13318" max="13318" width="4.7109375" style="37" customWidth="1"/>
    <col min="13319" max="13319" width="5.28515625" style="37" customWidth="1"/>
    <col min="13320" max="13320" width="16.7109375" style="37" customWidth="1"/>
    <col min="13321" max="13321" width="4.7109375" style="37" customWidth="1"/>
    <col min="13322" max="13322" width="5.42578125" style="37" customWidth="1"/>
    <col min="13323" max="13323" width="16.7109375" style="37" customWidth="1"/>
    <col min="13324" max="13325" width="4.7109375" style="37" customWidth="1"/>
    <col min="13326" max="13326" width="16.7109375" style="37" customWidth="1"/>
    <col min="13327" max="13327" width="4.7109375" style="37" customWidth="1"/>
    <col min="13328" max="13328" width="2.85546875" style="37" customWidth="1"/>
    <col min="13329" max="13329" width="4.28515625" style="37" customWidth="1"/>
    <col min="13330" max="13330" width="17.140625" style="37" customWidth="1"/>
    <col min="13331" max="13331" width="4.7109375" style="37" customWidth="1"/>
    <col min="13332" max="13332" width="3" style="37" customWidth="1"/>
    <col min="13333" max="13333" width="2.42578125" style="37" customWidth="1"/>
    <col min="13334" max="13334" width="2.28515625" style="37" customWidth="1"/>
    <col min="13335" max="13335" width="20.7109375" style="37" customWidth="1"/>
    <col min="13336" max="13336" width="4.7109375" style="37" customWidth="1"/>
    <col min="13337" max="13337" width="2.85546875" style="37" customWidth="1"/>
    <col min="13338" max="13338" width="33.28515625" style="37" customWidth="1"/>
    <col min="13339" max="13339" width="4.7109375" style="37" customWidth="1"/>
    <col min="13340" max="13568" width="9.140625" style="37"/>
    <col min="13569" max="13569" width="3.42578125" style="37" customWidth="1"/>
    <col min="13570" max="13570" width="16.5703125" style="37" customWidth="1"/>
    <col min="13571" max="13571" width="4.7109375" style="37" customWidth="1"/>
    <col min="13572" max="13572" width="4.5703125" style="37" customWidth="1"/>
    <col min="13573" max="13573" width="16.85546875" style="37" customWidth="1"/>
    <col min="13574" max="13574" width="4.7109375" style="37" customWidth="1"/>
    <col min="13575" max="13575" width="5.28515625" style="37" customWidth="1"/>
    <col min="13576" max="13576" width="16.7109375" style="37" customWidth="1"/>
    <col min="13577" max="13577" width="4.7109375" style="37" customWidth="1"/>
    <col min="13578" max="13578" width="5.42578125" style="37" customWidth="1"/>
    <col min="13579" max="13579" width="16.7109375" style="37" customWidth="1"/>
    <col min="13580" max="13581" width="4.7109375" style="37" customWidth="1"/>
    <col min="13582" max="13582" width="16.7109375" style="37" customWidth="1"/>
    <col min="13583" max="13583" width="4.7109375" style="37" customWidth="1"/>
    <col min="13584" max="13584" width="2.85546875" style="37" customWidth="1"/>
    <col min="13585" max="13585" width="4.28515625" style="37" customWidth="1"/>
    <col min="13586" max="13586" width="17.140625" style="37" customWidth="1"/>
    <col min="13587" max="13587" width="4.7109375" style="37" customWidth="1"/>
    <col min="13588" max="13588" width="3" style="37" customWidth="1"/>
    <col min="13589" max="13589" width="2.42578125" style="37" customWidth="1"/>
    <col min="13590" max="13590" width="2.28515625" style="37" customWidth="1"/>
    <col min="13591" max="13591" width="20.7109375" style="37" customWidth="1"/>
    <col min="13592" max="13592" width="4.7109375" style="37" customWidth="1"/>
    <col min="13593" max="13593" width="2.85546875" style="37" customWidth="1"/>
    <col min="13594" max="13594" width="33.28515625" style="37" customWidth="1"/>
    <col min="13595" max="13595" width="4.7109375" style="37" customWidth="1"/>
    <col min="13596" max="13824" width="9.140625" style="37"/>
    <col min="13825" max="13825" width="3.42578125" style="37" customWidth="1"/>
    <col min="13826" max="13826" width="16.5703125" style="37" customWidth="1"/>
    <col min="13827" max="13827" width="4.7109375" style="37" customWidth="1"/>
    <col min="13828" max="13828" width="4.5703125" style="37" customWidth="1"/>
    <col min="13829" max="13829" width="16.85546875" style="37" customWidth="1"/>
    <col min="13830" max="13830" width="4.7109375" style="37" customWidth="1"/>
    <col min="13831" max="13831" width="5.28515625" style="37" customWidth="1"/>
    <col min="13832" max="13832" width="16.7109375" style="37" customWidth="1"/>
    <col min="13833" max="13833" width="4.7109375" style="37" customWidth="1"/>
    <col min="13834" max="13834" width="5.42578125" style="37" customWidth="1"/>
    <col min="13835" max="13835" width="16.7109375" style="37" customWidth="1"/>
    <col min="13836" max="13837" width="4.7109375" style="37" customWidth="1"/>
    <col min="13838" max="13838" width="16.7109375" style="37" customWidth="1"/>
    <col min="13839" max="13839" width="4.7109375" style="37" customWidth="1"/>
    <col min="13840" max="13840" width="2.85546875" style="37" customWidth="1"/>
    <col min="13841" max="13841" width="4.28515625" style="37" customWidth="1"/>
    <col min="13842" max="13842" width="17.140625" style="37" customWidth="1"/>
    <col min="13843" max="13843" width="4.7109375" style="37" customWidth="1"/>
    <col min="13844" max="13844" width="3" style="37" customWidth="1"/>
    <col min="13845" max="13845" width="2.42578125" style="37" customWidth="1"/>
    <col min="13846" max="13846" width="2.28515625" style="37" customWidth="1"/>
    <col min="13847" max="13847" width="20.7109375" style="37" customWidth="1"/>
    <col min="13848" max="13848" width="4.7109375" style="37" customWidth="1"/>
    <col min="13849" max="13849" width="2.85546875" style="37" customWidth="1"/>
    <col min="13850" max="13850" width="33.28515625" style="37" customWidth="1"/>
    <col min="13851" max="13851" width="4.7109375" style="37" customWidth="1"/>
    <col min="13852" max="14080" width="9.140625" style="37"/>
    <col min="14081" max="14081" width="3.42578125" style="37" customWidth="1"/>
    <col min="14082" max="14082" width="16.5703125" style="37" customWidth="1"/>
    <col min="14083" max="14083" width="4.7109375" style="37" customWidth="1"/>
    <col min="14084" max="14084" width="4.5703125" style="37" customWidth="1"/>
    <col min="14085" max="14085" width="16.85546875" style="37" customWidth="1"/>
    <col min="14086" max="14086" width="4.7109375" style="37" customWidth="1"/>
    <col min="14087" max="14087" width="5.28515625" style="37" customWidth="1"/>
    <col min="14088" max="14088" width="16.7109375" style="37" customWidth="1"/>
    <col min="14089" max="14089" width="4.7109375" style="37" customWidth="1"/>
    <col min="14090" max="14090" width="5.42578125" style="37" customWidth="1"/>
    <col min="14091" max="14091" width="16.7109375" style="37" customWidth="1"/>
    <col min="14092" max="14093" width="4.7109375" style="37" customWidth="1"/>
    <col min="14094" max="14094" width="16.7109375" style="37" customWidth="1"/>
    <col min="14095" max="14095" width="4.7109375" style="37" customWidth="1"/>
    <col min="14096" max="14096" width="2.85546875" style="37" customWidth="1"/>
    <col min="14097" max="14097" width="4.28515625" style="37" customWidth="1"/>
    <col min="14098" max="14098" width="17.140625" style="37" customWidth="1"/>
    <col min="14099" max="14099" width="4.7109375" style="37" customWidth="1"/>
    <col min="14100" max="14100" width="3" style="37" customWidth="1"/>
    <col min="14101" max="14101" width="2.42578125" style="37" customWidth="1"/>
    <col min="14102" max="14102" width="2.28515625" style="37" customWidth="1"/>
    <col min="14103" max="14103" width="20.7109375" style="37" customWidth="1"/>
    <col min="14104" max="14104" width="4.7109375" style="37" customWidth="1"/>
    <col min="14105" max="14105" width="2.85546875" style="37" customWidth="1"/>
    <col min="14106" max="14106" width="33.28515625" style="37" customWidth="1"/>
    <col min="14107" max="14107" width="4.7109375" style="37" customWidth="1"/>
    <col min="14108" max="14336" width="9.140625" style="37"/>
    <col min="14337" max="14337" width="3.42578125" style="37" customWidth="1"/>
    <col min="14338" max="14338" width="16.5703125" style="37" customWidth="1"/>
    <col min="14339" max="14339" width="4.7109375" style="37" customWidth="1"/>
    <col min="14340" max="14340" width="4.5703125" style="37" customWidth="1"/>
    <col min="14341" max="14341" width="16.85546875" style="37" customWidth="1"/>
    <col min="14342" max="14342" width="4.7109375" style="37" customWidth="1"/>
    <col min="14343" max="14343" width="5.28515625" style="37" customWidth="1"/>
    <col min="14344" max="14344" width="16.7109375" style="37" customWidth="1"/>
    <col min="14345" max="14345" width="4.7109375" style="37" customWidth="1"/>
    <col min="14346" max="14346" width="5.42578125" style="37" customWidth="1"/>
    <col min="14347" max="14347" width="16.7109375" style="37" customWidth="1"/>
    <col min="14348" max="14349" width="4.7109375" style="37" customWidth="1"/>
    <col min="14350" max="14350" width="16.7109375" style="37" customWidth="1"/>
    <col min="14351" max="14351" width="4.7109375" style="37" customWidth="1"/>
    <col min="14352" max="14352" width="2.85546875" style="37" customWidth="1"/>
    <col min="14353" max="14353" width="4.28515625" style="37" customWidth="1"/>
    <col min="14354" max="14354" width="17.140625" style="37" customWidth="1"/>
    <col min="14355" max="14355" width="4.7109375" style="37" customWidth="1"/>
    <col min="14356" max="14356" width="3" style="37" customWidth="1"/>
    <col min="14357" max="14357" width="2.42578125" style="37" customWidth="1"/>
    <col min="14358" max="14358" width="2.28515625" style="37" customWidth="1"/>
    <col min="14359" max="14359" width="20.7109375" style="37" customWidth="1"/>
    <col min="14360" max="14360" width="4.7109375" style="37" customWidth="1"/>
    <col min="14361" max="14361" width="2.85546875" style="37" customWidth="1"/>
    <col min="14362" max="14362" width="33.28515625" style="37" customWidth="1"/>
    <col min="14363" max="14363" width="4.7109375" style="37" customWidth="1"/>
    <col min="14364" max="14592" width="9.140625" style="37"/>
    <col min="14593" max="14593" width="3.42578125" style="37" customWidth="1"/>
    <col min="14594" max="14594" width="16.5703125" style="37" customWidth="1"/>
    <col min="14595" max="14595" width="4.7109375" style="37" customWidth="1"/>
    <col min="14596" max="14596" width="4.5703125" style="37" customWidth="1"/>
    <col min="14597" max="14597" width="16.85546875" style="37" customWidth="1"/>
    <col min="14598" max="14598" width="4.7109375" style="37" customWidth="1"/>
    <col min="14599" max="14599" width="5.28515625" style="37" customWidth="1"/>
    <col min="14600" max="14600" width="16.7109375" style="37" customWidth="1"/>
    <col min="14601" max="14601" width="4.7109375" style="37" customWidth="1"/>
    <col min="14602" max="14602" width="5.42578125" style="37" customWidth="1"/>
    <col min="14603" max="14603" width="16.7109375" style="37" customWidth="1"/>
    <col min="14604" max="14605" width="4.7109375" style="37" customWidth="1"/>
    <col min="14606" max="14606" width="16.7109375" style="37" customWidth="1"/>
    <col min="14607" max="14607" width="4.7109375" style="37" customWidth="1"/>
    <col min="14608" max="14608" width="2.85546875" style="37" customWidth="1"/>
    <col min="14609" max="14609" width="4.28515625" style="37" customWidth="1"/>
    <col min="14610" max="14610" width="17.140625" style="37" customWidth="1"/>
    <col min="14611" max="14611" width="4.7109375" style="37" customWidth="1"/>
    <col min="14612" max="14612" width="3" style="37" customWidth="1"/>
    <col min="14613" max="14613" width="2.42578125" style="37" customWidth="1"/>
    <col min="14614" max="14614" width="2.28515625" style="37" customWidth="1"/>
    <col min="14615" max="14615" width="20.7109375" style="37" customWidth="1"/>
    <col min="14616" max="14616" width="4.7109375" style="37" customWidth="1"/>
    <col min="14617" max="14617" width="2.85546875" style="37" customWidth="1"/>
    <col min="14618" max="14618" width="33.28515625" style="37" customWidth="1"/>
    <col min="14619" max="14619" width="4.7109375" style="37" customWidth="1"/>
    <col min="14620" max="14848" width="9.140625" style="37"/>
    <col min="14849" max="14849" width="3.42578125" style="37" customWidth="1"/>
    <col min="14850" max="14850" width="16.5703125" style="37" customWidth="1"/>
    <col min="14851" max="14851" width="4.7109375" style="37" customWidth="1"/>
    <col min="14852" max="14852" width="4.5703125" style="37" customWidth="1"/>
    <col min="14853" max="14853" width="16.85546875" style="37" customWidth="1"/>
    <col min="14854" max="14854" width="4.7109375" style="37" customWidth="1"/>
    <col min="14855" max="14855" width="5.28515625" style="37" customWidth="1"/>
    <col min="14856" max="14856" width="16.7109375" style="37" customWidth="1"/>
    <col min="14857" max="14857" width="4.7109375" style="37" customWidth="1"/>
    <col min="14858" max="14858" width="5.42578125" style="37" customWidth="1"/>
    <col min="14859" max="14859" width="16.7109375" style="37" customWidth="1"/>
    <col min="14860" max="14861" width="4.7109375" style="37" customWidth="1"/>
    <col min="14862" max="14862" width="16.7109375" style="37" customWidth="1"/>
    <col min="14863" max="14863" width="4.7109375" style="37" customWidth="1"/>
    <col min="14864" max="14864" width="2.85546875" style="37" customWidth="1"/>
    <col min="14865" max="14865" width="4.28515625" style="37" customWidth="1"/>
    <col min="14866" max="14866" width="17.140625" style="37" customWidth="1"/>
    <col min="14867" max="14867" width="4.7109375" style="37" customWidth="1"/>
    <col min="14868" max="14868" width="3" style="37" customWidth="1"/>
    <col min="14869" max="14869" width="2.42578125" style="37" customWidth="1"/>
    <col min="14870" max="14870" width="2.28515625" style="37" customWidth="1"/>
    <col min="14871" max="14871" width="20.7109375" style="37" customWidth="1"/>
    <col min="14872" max="14872" width="4.7109375" style="37" customWidth="1"/>
    <col min="14873" max="14873" width="2.85546875" style="37" customWidth="1"/>
    <col min="14874" max="14874" width="33.28515625" style="37" customWidth="1"/>
    <col min="14875" max="14875" width="4.7109375" style="37" customWidth="1"/>
    <col min="14876" max="15104" width="9.140625" style="37"/>
    <col min="15105" max="15105" width="3.42578125" style="37" customWidth="1"/>
    <col min="15106" max="15106" width="16.5703125" style="37" customWidth="1"/>
    <col min="15107" max="15107" width="4.7109375" style="37" customWidth="1"/>
    <col min="15108" max="15108" width="4.5703125" style="37" customWidth="1"/>
    <col min="15109" max="15109" width="16.85546875" style="37" customWidth="1"/>
    <col min="15110" max="15110" width="4.7109375" style="37" customWidth="1"/>
    <col min="15111" max="15111" width="5.28515625" style="37" customWidth="1"/>
    <col min="15112" max="15112" width="16.7109375" style="37" customWidth="1"/>
    <col min="15113" max="15113" width="4.7109375" style="37" customWidth="1"/>
    <col min="15114" max="15114" width="5.42578125" style="37" customWidth="1"/>
    <col min="15115" max="15115" width="16.7109375" style="37" customWidth="1"/>
    <col min="15116" max="15117" width="4.7109375" style="37" customWidth="1"/>
    <col min="15118" max="15118" width="16.7109375" style="37" customWidth="1"/>
    <col min="15119" max="15119" width="4.7109375" style="37" customWidth="1"/>
    <col min="15120" max="15120" width="2.85546875" style="37" customWidth="1"/>
    <col min="15121" max="15121" width="4.28515625" style="37" customWidth="1"/>
    <col min="15122" max="15122" width="17.140625" style="37" customWidth="1"/>
    <col min="15123" max="15123" width="4.7109375" style="37" customWidth="1"/>
    <col min="15124" max="15124" width="3" style="37" customWidth="1"/>
    <col min="15125" max="15125" width="2.42578125" style="37" customWidth="1"/>
    <col min="15126" max="15126" width="2.28515625" style="37" customWidth="1"/>
    <col min="15127" max="15127" width="20.7109375" style="37" customWidth="1"/>
    <col min="15128" max="15128" width="4.7109375" style="37" customWidth="1"/>
    <col min="15129" max="15129" width="2.85546875" style="37" customWidth="1"/>
    <col min="15130" max="15130" width="33.28515625" style="37" customWidth="1"/>
    <col min="15131" max="15131" width="4.7109375" style="37" customWidth="1"/>
    <col min="15132" max="15360" width="9.140625" style="37"/>
    <col min="15361" max="15361" width="3.42578125" style="37" customWidth="1"/>
    <col min="15362" max="15362" width="16.5703125" style="37" customWidth="1"/>
    <col min="15363" max="15363" width="4.7109375" style="37" customWidth="1"/>
    <col min="15364" max="15364" width="4.5703125" style="37" customWidth="1"/>
    <col min="15365" max="15365" width="16.85546875" style="37" customWidth="1"/>
    <col min="15366" max="15366" width="4.7109375" style="37" customWidth="1"/>
    <col min="15367" max="15367" width="5.28515625" style="37" customWidth="1"/>
    <col min="15368" max="15368" width="16.7109375" style="37" customWidth="1"/>
    <col min="15369" max="15369" width="4.7109375" style="37" customWidth="1"/>
    <col min="15370" max="15370" width="5.42578125" style="37" customWidth="1"/>
    <col min="15371" max="15371" width="16.7109375" style="37" customWidth="1"/>
    <col min="15372" max="15373" width="4.7109375" style="37" customWidth="1"/>
    <col min="15374" max="15374" width="16.7109375" style="37" customWidth="1"/>
    <col min="15375" max="15375" width="4.7109375" style="37" customWidth="1"/>
    <col min="15376" max="15376" width="2.85546875" style="37" customWidth="1"/>
    <col min="15377" max="15377" width="4.28515625" style="37" customWidth="1"/>
    <col min="15378" max="15378" width="17.140625" style="37" customWidth="1"/>
    <col min="15379" max="15379" width="4.7109375" style="37" customWidth="1"/>
    <col min="15380" max="15380" width="3" style="37" customWidth="1"/>
    <col min="15381" max="15381" width="2.42578125" style="37" customWidth="1"/>
    <col min="15382" max="15382" width="2.28515625" style="37" customWidth="1"/>
    <col min="15383" max="15383" width="20.7109375" style="37" customWidth="1"/>
    <col min="15384" max="15384" width="4.7109375" style="37" customWidth="1"/>
    <col min="15385" max="15385" width="2.85546875" style="37" customWidth="1"/>
    <col min="15386" max="15386" width="33.28515625" style="37" customWidth="1"/>
    <col min="15387" max="15387" width="4.7109375" style="37" customWidth="1"/>
    <col min="15388" max="15616" width="9.140625" style="37"/>
    <col min="15617" max="15617" width="3.42578125" style="37" customWidth="1"/>
    <col min="15618" max="15618" width="16.5703125" style="37" customWidth="1"/>
    <col min="15619" max="15619" width="4.7109375" style="37" customWidth="1"/>
    <col min="15620" max="15620" width="4.5703125" style="37" customWidth="1"/>
    <col min="15621" max="15621" width="16.85546875" style="37" customWidth="1"/>
    <col min="15622" max="15622" width="4.7109375" style="37" customWidth="1"/>
    <col min="15623" max="15623" width="5.28515625" style="37" customWidth="1"/>
    <col min="15624" max="15624" width="16.7109375" style="37" customWidth="1"/>
    <col min="15625" max="15625" width="4.7109375" style="37" customWidth="1"/>
    <col min="15626" max="15626" width="5.42578125" style="37" customWidth="1"/>
    <col min="15627" max="15627" width="16.7109375" style="37" customWidth="1"/>
    <col min="15628" max="15629" width="4.7109375" style="37" customWidth="1"/>
    <col min="15630" max="15630" width="16.7109375" style="37" customWidth="1"/>
    <col min="15631" max="15631" width="4.7109375" style="37" customWidth="1"/>
    <col min="15632" max="15632" width="2.85546875" style="37" customWidth="1"/>
    <col min="15633" max="15633" width="4.28515625" style="37" customWidth="1"/>
    <col min="15634" max="15634" width="17.140625" style="37" customWidth="1"/>
    <col min="15635" max="15635" width="4.7109375" style="37" customWidth="1"/>
    <col min="15636" max="15636" width="3" style="37" customWidth="1"/>
    <col min="15637" max="15637" width="2.42578125" style="37" customWidth="1"/>
    <col min="15638" max="15638" width="2.28515625" style="37" customWidth="1"/>
    <col min="15639" max="15639" width="20.7109375" style="37" customWidth="1"/>
    <col min="15640" max="15640" width="4.7109375" style="37" customWidth="1"/>
    <col min="15641" max="15641" width="2.85546875" style="37" customWidth="1"/>
    <col min="15642" max="15642" width="33.28515625" style="37" customWidth="1"/>
    <col min="15643" max="15643" width="4.7109375" style="37" customWidth="1"/>
    <col min="15644" max="15872" width="9.140625" style="37"/>
    <col min="15873" max="15873" width="3.42578125" style="37" customWidth="1"/>
    <col min="15874" max="15874" width="16.5703125" style="37" customWidth="1"/>
    <col min="15875" max="15875" width="4.7109375" style="37" customWidth="1"/>
    <col min="15876" max="15876" width="4.5703125" style="37" customWidth="1"/>
    <col min="15877" max="15877" width="16.85546875" style="37" customWidth="1"/>
    <col min="15878" max="15878" width="4.7109375" style="37" customWidth="1"/>
    <col min="15879" max="15879" width="5.28515625" style="37" customWidth="1"/>
    <col min="15880" max="15880" width="16.7109375" style="37" customWidth="1"/>
    <col min="15881" max="15881" width="4.7109375" style="37" customWidth="1"/>
    <col min="15882" max="15882" width="5.42578125" style="37" customWidth="1"/>
    <col min="15883" max="15883" width="16.7109375" style="37" customWidth="1"/>
    <col min="15884" max="15885" width="4.7109375" style="37" customWidth="1"/>
    <col min="15886" max="15886" width="16.7109375" style="37" customWidth="1"/>
    <col min="15887" max="15887" width="4.7109375" style="37" customWidth="1"/>
    <col min="15888" max="15888" width="2.85546875" style="37" customWidth="1"/>
    <col min="15889" max="15889" width="4.28515625" style="37" customWidth="1"/>
    <col min="15890" max="15890" width="17.140625" style="37" customWidth="1"/>
    <col min="15891" max="15891" width="4.7109375" style="37" customWidth="1"/>
    <col min="15892" max="15892" width="3" style="37" customWidth="1"/>
    <col min="15893" max="15893" width="2.42578125" style="37" customWidth="1"/>
    <col min="15894" max="15894" width="2.28515625" style="37" customWidth="1"/>
    <col min="15895" max="15895" width="20.7109375" style="37" customWidth="1"/>
    <col min="15896" max="15896" width="4.7109375" style="37" customWidth="1"/>
    <col min="15897" max="15897" width="2.85546875" style="37" customWidth="1"/>
    <col min="15898" max="15898" width="33.28515625" style="37" customWidth="1"/>
    <col min="15899" max="15899" width="4.7109375" style="37" customWidth="1"/>
    <col min="15900" max="16128" width="9.140625" style="37"/>
    <col min="16129" max="16129" width="3.42578125" style="37" customWidth="1"/>
    <col min="16130" max="16130" width="16.5703125" style="37" customWidth="1"/>
    <col min="16131" max="16131" width="4.7109375" style="37" customWidth="1"/>
    <col min="16132" max="16132" width="4.5703125" style="37" customWidth="1"/>
    <col min="16133" max="16133" width="16.85546875" style="37" customWidth="1"/>
    <col min="16134" max="16134" width="4.7109375" style="37" customWidth="1"/>
    <col min="16135" max="16135" width="5.28515625" style="37" customWidth="1"/>
    <col min="16136" max="16136" width="16.7109375" style="37" customWidth="1"/>
    <col min="16137" max="16137" width="4.7109375" style="37" customWidth="1"/>
    <col min="16138" max="16138" width="5.42578125" style="37" customWidth="1"/>
    <col min="16139" max="16139" width="16.7109375" style="37" customWidth="1"/>
    <col min="16140" max="16141" width="4.7109375" style="37" customWidth="1"/>
    <col min="16142" max="16142" width="16.7109375" style="37" customWidth="1"/>
    <col min="16143" max="16143" width="4.7109375" style="37" customWidth="1"/>
    <col min="16144" max="16144" width="2.85546875" style="37" customWidth="1"/>
    <col min="16145" max="16145" width="4.28515625" style="37" customWidth="1"/>
    <col min="16146" max="16146" width="17.140625" style="37" customWidth="1"/>
    <col min="16147" max="16147" width="4.7109375" style="37" customWidth="1"/>
    <col min="16148" max="16148" width="3" style="37" customWidth="1"/>
    <col min="16149" max="16149" width="2.42578125" style="37" customWidth="1"/>
    <col min="16150" max="16150" width="2.28515625" style="37" customWidth="1"/>
    <col min="16151" max="16151" width="20.7109375" style="37" customWidth="1"/>
    <col min="16152" max="16152" width="4.7109375" style="37" customWidth="1"/>
    <col min="16153" max="16153" width="2.85546875" style="37" customWidth="1"/>
    <col min="16154" max="16154" width="33.28515625" style="37" customWidth="1"/>
    <col min="16155" max="16155" width="4.7109375" style="37" customWidth="1"/>
    <col min="16156" max="16384" width="9.140625" style="37"/>
  </cols>
  <sheetData>
    <row r="1" spans="2:28" ht="21.75" customHeight="1" x14ac:dyDescent="0.2">
      <c r="B1" s="390" t="s">
        <v>191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3"/>
      <c r="X1" s="34"/>
      <c r="Y1" s="35"/>
      <c r="Z1" s="36"/>
      <c r="AA1" s="35"/>
    </row>
    <row r="2" spans="2:28" s="40" customFormat="1" ht="11.25" customHeight="1" x14ac:dyDescent="0.3">
      <c r="B2" s="390" t="s">
        <v>192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8"/>
      <c r="Y2" s="39"/>
      <c r="Z2" s="39"/>
      <c r="AA2" s="39"/>
    </row>
    <row r="3" spans="2:28" ht="13.5" customHeight="1" thickBot="1" x14ac:dyDescent="0.25">
      <c r="B3" s="41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42"/>
      <c r="S3" s="35"/>
      <c r="T3" s="35"/>
      <c r="U3" s="35"/>
      <c r="V3" s="35"/>
      <c r="W3" s="42"/>
      <c r="X3" s="34"/>
      <c r="Y3" s="35"/>
      <c r="Z3" s="35"/>
      <c r="AA3" s="35"/>
    </row>
    <row r="4" spans="2:28" ht="19.5" customHeight="1" thickTop="1" thickBot="1" x14ac:dyDescent="0.25">
      <c r="B4" s="43" t="s">
        <v>6</v>
      </c>
      <c r="C4" s="44"/>
      <c r="D4" s="44"/>
      <c r="E4" s="43" t="s">
        <v>24</v>
      </c>
      <c r="F4" s="44"/>
      <c r="G4" s="44"/>
      <c r="H4" s="43" t="s">
        <v>41</v>
      </c>
      <c r="I4" s="44"/>
      <c r="J4" s="44"/>
      <c r="K4" s="43" t="s">
        <v>59</v>
      </c>
      <c r="L4" s="44"/>
      <c r="M4" s="44"/>
      <c r="N4" s="43" t="s">
        <v>74</v>
      </c>
      <c r="O4" s="44"/>
      <c r="P4" s="44"/>
      <c r="Q4" s="44"/>
      <c r="R4" s="45" t="s">
        <v>90</v>
      </c>
      <c r="S4" s="44"/>
      <c r="T4" s="44"/>
      <c r="U4" s="44"/>
      <c r="V4" s="44"/>
      <c r="W4" s="45" t="s">
        <v>120</v>
      </c>
      <c r="X4" s="46"/>
      <c r="Y4" s="44"/>
      <c r="Z4" s="391" t="s">
        <v>193</v>
      </c>
      <c r="AA4" s="392"/>
      <c r="AB4" s="47"/>
    </row>
    <row r="5" spans="2:28" ht="12" customHeight="1" thickTop="1" x14ac:dyDescent="0.2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9"/>
      <c r="S5" s="48"/>
      <c r="T5" s="48"/>
      <c r="U5" s="48"/>
      <c r="V5" s="48"/>
      <c r="W5" s="49"/>
      <c r="X5" s="50"/>
      <c r="Y5" s="48"/>
      <c r="Z5" s="48"/>
      <c r="AA5" s="48"/>
    </row>
    <row r="6" spans="2:28" s="55" customFormat="1" ht="25.5" customHeight="1" x14ac:dyDescent="0.25">
      <c r="B6" s="51" t="s">
        <v>194</v>
      </c>
      <c r="C6" s="52">
        <v>3</v>
      </c>
      <c r="D6" s="53"/>
      <c r="E6" s="54"/>
      <c r="F6" s="54"/>
      <c r="G6" s="54"/>
      <c r="H6" s="54"/>
      <c r="I6" s="54"/>
      <c r="J6" s="54"/>
      <c r="K6" s="54"/>
      <c r="L6" s="54"/>
      <c r="M6" s="54"/>
      <c r="R6" s="56" t="s">
        <v>92</v>
      </c>
      <c r="S6" s="57">
        <v>3</v>
      </c>
      <c r="T6" s="54"/>
      <c r="U6" s="54"/>
      <c r="V6" s="54"/>
      <c r="W6" s="51" t="s">
        <v>195</v>
      </c>
      <c r="X6" s="57">
        <v>3</v>
      </c>
      <c r="Y6" s="54"/>
      <c r="Z6" s="54"/>
      <c r="AA6" s="54"/>
    </row>
    <row r="7" spans="2:28" s="55" customFormat="1" ht="8.25" customHeight="1" x14ac:dyDescent="0.25">
      <c r="B7" s="54"/>
      <c r="C7" s="54"/>
      <c r="D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46"/>
      <c r="R7" s="58"/>
      <c r="S7" s="54"/>
      <c r="T7" s="54"/>
      <c r="U7" s="54"/>
      <c r="V7" s="54"/>
      <c r="W7" s="59"/>
      <c r="Y7" s="54"/>
      <c r="Z7" s="54"/>
      <c r="AA7" s="54"/>
    </row>
    <row r="8" spans="2:28" s="55" customFormat="1" ht="20.100000000000001" customHeight="1" x14ac:dyDescent="0.25">
      <c r="B8" s="58"/>
      <c r="C8" s="393"/>
      <c r="E8" s="57" t="s">
        <v>26</v>
      </c>
      <c r="F8" s="57">
        <v>2</v>
      </c>
      <c r="G8" s="54"/>
      <c r="H8" s="57" t="s">
        <v>43</v>
      </c>
      <c r="I8" s="57">
        <v>3</v>
      </c>
      <c r="J8" s="54"/>
      <c r="K8" s="52" t="s">
        <v>196</v>
      </c>
      <c r="L8" s="52">
        <v>3</v>
      </c>
      <c r="M8" s="54"/>
      <c r="N8" s="57" t="s">
        <v>76</v>
      </c>
      <c r="O8" s="57">
        <v>2</v>
      </c>
      <c r="P8" s="54"/>
      <c r="Q8" s="54"/>
      <c r="R8" s="60" t="s">
        <v>197</v>
      </c>
      <c r="S8" s="61">
        <v>3</v>
      </c>
      <c r="T8" s="54"/>
      <c r="U8" s="54"/>
      <c r="V8" s="54"/>
      <c r="W8" s="60" t="s">
        <v>132</v>
      </c>
      <c r="X8" s="61">
        <v>2</v>
      </c>
      <c r="Y8" s="54"/>
      <c r="Z8" s="54"/>
      <c r="AA8" s="54"/>
    </row>
    <row r="9" spans="2:28" s="55" customFormat="1" ht="15.75" customHeight="1" x14ac:dyDescent="0.25">
      <c r="B9" s="58"/>
      <c r="C9" s="393"/>
      <c r="E9" s="54"/>
      <c r="G9" s="54"/>
      <c r="H9" s="54"/>
      <c r="I9" s="54"/>
      <c r="J9" s="54"/>
      <c r="M9" s="54"/>
      <c r="N9" s="54"/>
      <c r="O9" s="54"/>
      <c r="P9" s="54"/>
      <c r="Q9" s="54"/>
      <c r="R9" s="62"/>
      <c r="S9" s="63"/>
      <c r="T9" s="54"/>
      <c r="U9" s="54"/>
      <c r="V9" s="54"/>
      <c r="W9" s="64"/>
      <c r="X9" s="65"/>
      <c r="Y9" s="54"/>
      <c r="Z9" s="54"/>
      <c r="AA9" s="54"/>
    </row>
    <row r="10" spans="2:28" s="55" customFormat="1" ht="19.5" customHeight="1" x14ac:dyDescent="0.25">
      <c r="D10" s="54"/>
      <c r="E10" s="54"/>
      <c r="P10" s="63"/>
      <c r="Q10" s="54"/>
      <c r="R10" s="62"/>
      <c r="S10" s="63"/>
      <c r="T10" s="54"/>
      <c r="U10" s="54"/>
      <c r="V10" s="54"/>
      <c r="W10" s="66" t="s">
        <v>198</v>
      </c>
      <c r="X10" s="61">
        <v>3</v>
      </c>
      <c r="Y10" s="54"/>
      <c r="Z10" s="54"/>
      <c r="AA10" s="54"/>
    </row>
    <row r="11" spans="2:28" s="55" customFormat="1" ht="8.25" customHeight="1" x14ac:dyDescent="0.25">
      <c r="R11" s="59"/>
      <c r="W11" s="59"/>
    </row>
    <row r="12" spans="2:28" s="55" customFormat="1" ht="20.100000000000001" customHeight="1" x14ac:dyDescent="0.25">
      <c r="B12" s="54"/>
      <c r="C12" s="54"/>
      <c r="D12" s="54"/>
      <c r="E12" s="54"/>
      <c r="F12" s="54"/>
      <c r="G12" s="54"/>
      <c r="H12" s="54"/>
      <c r="I12" s="54"/>
      <c r="J12" s="54"/>
      <c r="K12" s="54"/>
      <c r="M12" s="54"/>
      <c r="N12" s="54"/>
      <c r="O12" s="54"/>
      <c r="P12" s="54"/>
      <c r="Q12" s="54"/>
      <c r="R12" s="58"/>
      <c r="S12" s="54"/>
      <c r="T12" s="54"/>
      <c r="U12" s="54"/>
      <c r="V12" s="54"/>
      <c r="W12" s="51" t="s">
        <v>199</v>
      </c>
      <c r="X12" s="52">
        <v>3</v>
      </c>
      <c r="Y12" s="54"/>
      <c r="Z12" s="54"/>
      <c r="AA12" s="54"/>
    </row>
    <row r="13" spans="2:28" s="55" customFormat="1" ht="9.75" customHeight="1" x14ac:dyDescent="0.25">
      <c r="B13" s="54"/>
      <c r="C13" s="54"/>
      <c r="D13" s="54"/>
      <c r="E13" s="54"/>
      <c r="F13" s="54"/>
      <c r="G13" s="54"/>
      <c r="H13" s="54"/>
      <c r="I13" s="54"/>
      <c r="K13" s="54"/>
      <c r="L13" s="54"/>
      <c r="M13" s="54"/>
      <c r="R13" s="59"/>
      <c r="T13" s="67"/>
      <c r="W13" s="59"/>
      <c r="Y13" s="54"/>
      <c r="Z13" s="54"/>
      <c r="AA13" s="54"/>
    </row>
    <row r="14" spans="2:28" s="55" customFormat="1" ht="19.5" customHeight="1" x14ac:dyDescent="0.25">
      <c r="B14" s="68" t="s">
        <v>200</v>
      </c>
      <c r="C14" s="394">
        <v>3</v>
      </c>
      <c r="D14" s="54"/>
      <c r="E14" s="51" t="s">
        <v>201</v>
      </c>
      <c r="F14" s="52">
        <v>3</v>
      </c>
      <c r="G14" s="54"/>
      <c r="H14" s="56" t="s">
        <v>202</v>
      </c>
      <c r="I14" s="57">
        <v>3</v>
      </c>
      <c r="J14" s="54"/>
      <c r="K14" s="51" t="s">
        <v>203</v>
      </c>
      <c r="L14" s="52">
        <v>3</v>
      </c>
      <c r="M14" s="54"/>
      <c r="N14" s="56" t="s">
        <v>204</v>
      </c>
      <c r="O14" s="57">
        <v>3</v>
      </c>
      <c r="P14" s="54"/>
      <c r="Q14" s="54"/>
      <c r="R14" s="51" t="s">
        <v>205</v>
      </c>
      <c r="S14" s="52">
        <v>3</v>
      </c>
      <c r="T14" s="54"/>
      <c r="U14" s="54"/>
      <c r="V14" s="54"/>
      <c r="W14" s="51" t="s">
        <v>206</v>
      </c>
      <c r="X14" s="52">
        <v>3</v>
      </c>
      <c r="Y14" s="54"/>
      <c r="Z14" s="54"/>
      <c r="AA14" s="54"/>
    </row>
    <row r="15" spans="2:28" s="55" customFormat="1" ht="15.75" customHeight="1" x14ac:dyDescent="0.25">
      <c r="B15" s="69" t="s">
        <v>207</v>
      </c>
      <c r="C15" s="395"/>
      <c r="D15" s="54"/>
      <c r="E15" s="56" t="s">
        <v>30</v>
      </c>
      <c r="F15" s="57">
        <v>2</v>
      </c>
      <c r="G15" s="54"/>
      <c r="H15" s="54"/>
      <c r="I15" s="54"/>
      <c r="J15" s="54"/>
      <c r="K15" s="56" t="s">
        <v>208</v>
      </c>
      <c r="L15" s="57">
        <v>2</v>
      </c>
      <c r="M15" s="54"/>
      <c r="N15" s="67"/>
      <c r="O15" s="67"/>
      <c r="P15" s="54"/>
      <c r="Q15" s="54"/>
      <c r="R15" s="62"/>
      <c r="S15" s="63"/>
      <c r="T15" s="54"/>
      <c r="U15" s="54"/>
      <c r="V15" s="54"/>
      <c r="W15" s="64"/>
      <c r="X15" s="65"/>
      <c r="Y15" s="54"/>
      <c r="Z15" s="54"/>
      <c r="AA15" s="54"/>
    </row>
    <row r="16" spans="2:28" s="55" customFormat="1" ht="20.100000000000001" customHeight="1" x14ac:dyDescent="0.25">
      <c r="B16" s="54"/>
      <c r="C16" s="54"/>
      <c r="D16" s="54"/>
      <c r="G16" s="54"/>
      <c r="H16" s="54"/>
      <c r="I16" s="54"/>
      <c r="J16" s="54"/>
      <c r="M16" s="54"/>
      <c r="N16" s="67"/>
      <c r="O16" s="67"/>
      <c r="P16" s="54"/>
      <c r="Q16" s="54"/>
      <c r="R16" s="51" t="s">
        <v>209</v>
      </c>
      <c r="S16" s="52">
        <v>3</v>
      </c>
      <c r="T16" s="54"/>
      <c r="U16" s="54"/>
      <c r="V16" s="54"/>
      <c r="W16" s="70" t="s">
        <v>96</v>
      </c>
      <c r="X16" s="71">
        <v>3</v>
      </c>
      <c r="Y16" s="54"/>
      <c r="Z16" s="54"/>
      <c r="AA16" s="54"/>
    </row>
    <row r="17" spans="2:27" s="55" customFormat="1" ht="20.100000000000001" customHeight="1" x14ac:dyDescent="0.25">
      <c r="B17" s="72" t="s">
        <v>15</v>
      </c>
      <c r="C17" s="68">
        <v>2</v>
      </c>
      <c r="E17" s="51" t="s">
        <v>210</v>
      </c>
      <c r="F17" s="52">
        <v>2</v>
      </c>
      <c r="H17" s="54"/>
      <c r="I17" s="54"/>
      <c r="Q17" s="54"/>
      <c r="R17" s="73"/>
      <c r="S17" s="67"/>
      <c r="T17" s="67"/>
      <c r="U17" s="54"/>
      <c r="V17" s="54"/>
      <c r="W17" s="62"/>
      <c r="X17" s="63"/>
      <c r="Y17" s="54"/>
      <c r="Z17" s="54"/>
      <c r="AA17" s="54"/>
    </row>
    <row r="18" spans="2:27" s="55" customFormat="1" ht="20.100000000000001" customHeight="1" x14ac:dyDescent="0.25">
      <c r="B18" s="74"/>
      <c r="C18" s="75"/>
      <c r="H18" s="54"/>
      <c r="I18" s="54"/>
      <c r="K18" s="76" t="s">
        <v>211</v>
      </c>
      <c r="L18" s="386">
        <v>3</v>
      </c>
      <c r="M18" s="54"/>
      <c r="N18" s="77" t="s">
        <v>212</v>
      </c>
      <c r="O18" s="388">
        <v>3</v>
      </c>
      <c r="P18" s="54"/>
      <c r="Q18" s="54"/>
      <c r="R18" s="78" t="s">
        <v>213</v>
      </c>
      <c r="S18" s="79">
        <v>3</v>
      </c>
      <c r="T18" s="54"/>
      <c r="U18" s="54"/>
      <c r="V18" s="54"/>
      <c r="W18" s="78" t="s">
        <v>214</v>
      </c>
      <c r="X18" s="79">
        <v>3</v>
      </c>
      <c r="Y18" s="54"/>
      <c r="Z18" s="54"/>
      <c r="AA18" s="54"/>
    </row>
    <row r="19" spans="2:27" s="55" customFormat="1" ht="20.100000000000001" customHeight="1" x14ac:dyDescent="0.25">
      <c r="D19" s="54"/>
      <c r="G19" s="54"/>
      <c r="H19" s="54"/>
      <c r="I19" s="54"/>
      <c r="K19" s="80" t="s">
        <v>215</v>
      </c>
      <c r="L19" s="387"/>
      <c r="M19" s="54"/>
      <c r="N19" s="81" t="s">
        <v>216</v>
      </c>
      <c r="O19" s="389"/>
      <c r="P19" s="54"/>
      <c r="Q19" s="54"/>
      <c r="R19" s="62"/>
      <c r="S19" s="63"/>
      <c r="T19" s="63"/>
      <c r="U19" s="54"/>
      <c r="V19" s="54"/>
      <c r="W19" s="64"/>
      <c r="X19" s="65"/>
      <c r="Y19" s="54"/>
      <c r="Z19" s="54"/>
      <c r="AA19" s="54"/>
    </row>
    <row r="20" spans="2:27" s="55" customFormat="1" ht="20.100000000000001" customHeight="1" x14ac:dyDescent="0.25">
      <c r="R20" s="51" t="s">
        <v>217</v>
      </c>
      <c r="S20" s="52">
        <v>3</v>
      </c>
      <c r="W20" s="78" t="s">
        <v>218</v>
      </c>
      <c r="X20" s="79">
        <v>2</v>
      </c>
    </row>
    <row r="21" spans="2:27" s="55" customFormat="1" ht="8.25" customHeight="1" x14ac:dyDescent="0.25">
      <c r="E21" s="82" t="s">
        <v>219</v>
      </c>
      <c r="F21" s="388">
        <v>2</v>
      </c>
      <c r="R21" s="59"/>
      <c r="W21" s="59"/>
    </row>
    <row r="22" spans="2:27" s="55" customFormat="1" ht="19.5" customHeight="1" x14ac:dyDescent="0.25">
      <c r="B22" s="54"/>
      <c r="C22" s="54"/>
      <c r="D22" s="54"/>
      <c r="E22" s="83" t="s">
        <v>220</v>
      </c>
      <c r="F22" s="389"/>
      <c r="G22" s="54"/>
      <c r="H22" s="54"/>
      <c r="I22" s="54"/>
      <c r="J22" s="54"/>
      <c r="K22" s="54"/>
      <c r="L22" s="54"/>
      <c r="M22" s="54"/>
      <c r="O22" s="67"/>
      <c r="R22" s="59"/>
      <c r="T22" s="67"/>
      <c r="W22" s="84" t="s">
        <v>221</v>
      </c>
      <c r="X22" s="85">
        <v>2</v>
      </c>
      <c r="Y22" s="54"/>
      <c r="Z22" s="54"/>
      <c r="AA22" s="54"/>
    </row>
    <row r="23" spans="2:27" s="55" customFormat="1" ht="20.100000000000001" customHeight="1" x14ac:dyDescent="0.25">
      <c r="R23" s="59"/>
      <c r="W23" s="59"/>
    </row>
    <row r="24" spans="2:27" s="55" customFormat="1" ht="20.100000000000001" customHeight="1" x14ac:dyDescent="0.25">
      <c r="K24" s="54"/>
      <c r="L24" s="54"/>
      <c r="M24" s="54"/>
      <c r="N24" s="54"/>
      <c r="O24" s="54"/>
      <c r="R24" s="86" t="s">
        <v>222</v>
      </c>
      <c r="S24" s="85">
        <v>3</v>
      </c>
      <c r="T24" s="63"/>
      <c r="W24" s="84" t="s">
        <v>223</v>
      </c>
      <c r="X24" s="85">
        <v>3</v>
      </c>
    </row>
    <row r="25" spans="2:27" s="55" customFormat="1" ht="21.75" customHeight="1" x14ac:dyDescent="0.25">
      <c r="H25" s="87" t="s">
        <v>224</v>
      </c>
      <c r="I25" s="394">
        <v>2</v>
      </c>
      <c r="J25" s="54"/>
      <c r="K25" s="68" t="s">
        <v>225</v>
      </c>
      <c r="L25" s="68">
        <v>2</v>
      </c>
      <c r="N25" s="72" t="s">
        <v>89</v>
      </c>
      <c r="O25" s="68">
        <v>3</v>
      </c>
      <c r="P25" s="63"/>
      <c r="R25" s="62"/>
      <c r="S25" s="63"/>
      <c r="T25" s="63"/>
      <c r="W25" s="88"/>
      <c r="X25" s="89"/>
    </row>
    <row r="26" spans="2:27" s="55" customFormat="1" ht="16.5" customHeight="1" x14ac:dyDescent="0.25">
      <c r="H26" s="90" t="s">
        <v>226</v>
      </c>
      <c r="I26" s="395"/>
      <c r="K26" s="91"/>
      <c r="L26" s="91"/>
      <c r="N26" s="92"/>
      <c r="O26" s="91"/>
      <c r="R26" s="93" t="s">
        <v>227</v>
      </c>
      <c r="S26" s="94">
        <v>3</v>
      </c>
      <c r="V26" s="54"/>
      <c r="W26" s="95" t="s">
        <v>228</v>
      </c>
      <c r="X26" s="398">
        <v>2</v>
      </c>
    </row>
    <row r="27" spans="2:27" s="55" customFormat="1" ht="13.5" customHeight="1" x14ac:dyDescent="0.25">
      <c r="R27" s="59"/>
      <c r="W27" s="96" t="s">
        <v>229</v>
      </c>
      <c r="X27" s="399"/>
    </row>
    <row r="28" spans="2:27" s="55" customFormat="1" ht="13.5" customHeight="1" x14ac:dyDescent="0.25">
      <c r="K28" s="54"/>
      <c r="L28" s="54"/>
      <c r="M28" s="54"/>
      <c r="N28" s="54"/>
      <c r="O28" s="54"/>
      <c r="R28" s="59"/>
      <c r="T28" s="63"/>
      <c r="W28" s="59"/>
    </row>
    <row r="29" spans="2:27" s="55" customFormat="1" ht="24.75" customHeight="1" x14ac:dyDescent="0.25">
      <c r="R29" s="59"/>
      <c r="W29" s="93" t="s">
        <v>230</v>
      </c>
      <c r="X29" s="94">
        <v>3</v>
      </c>
      <c r="Z29" s="54"/>
      <c r="AA29" s="54"/>
    </row>
    <row r="30" spans="2:27" s="55" customFormat="1" ht="10.5" customHeight="1" x14ac:dyDescent="0.25">
      <c r="R30" s="59"/>
      <c r="W30" s="59"/>
      <c r="Z30" s="54"/>
      <c r="AA30" s="54"/>
    </row>
    <row r="31" spans="2:27" s="55" customFormat="1" ht="20.100000000000001" customHeight="1" x14ac:dyDescent="0.25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Q31" s="54"/>
      <c r="R31" s="97" t="s">
        <v>231</v>
      </c>
      <c r="S31" s="400">
        <v>3</v>
      </c>
      <c r="T31" s="98"/>
      <c r="U31" s="54"/>
      <c r="V31" s="54"/>
      <c r="W31" s="99" t="s">
        <v>232</v>
      </c>
      <c r="X31" s="100">
        <v>2</v>
      </c>
      <c r="Y31" s="54"/>
      <c r="AA31" s="54"/>
    </row>
    <row r="32" spans="2:27" s="55" customFormat="1" ht="20.100000000000001" customHeight="1" x14ac:dyDescent="0.25">
      <c r="B32" s="72" t="s">
        <v>200</v>
      </c>
      <c r="C32" s="394">
        <v>3</v>
      </c>
      <c r="D32" s="54"/>
      <c r="E32" s="68" t="s">
        <v>233</v>
      </c>
      <c r="F32" s="394">
        <v>2</v>
      </c>
      <c r="G32" s="54"/>
      <c r="H32" s="54"/>
      <c r="I32" s="54"/>
      <c r="J32" s="54"/>
      <c r="K32" s="57" t="s">
        <v>70</v>
      </c>
      <c r="L32" s="57">
        <v>3</v>
      </c>
      <c r="M32" s="54"/>
      <c r="N32" s="52" t="s">
        <v>234</v>
      </c>
      <c r="O32" s="52">
        <v>3</v>
      </c>
      <c r="R32" s="101" t="s">
        <v>235</v>
      </c>
      <c r="S32" s="401"/>
      <c r="T32" s="98"/>
      <c r="U32" s="98"/>
      <c r="W32" s="59"/>
      <c r="Y32" s="54"/>
      <c r="AA32" s="54"/>
    </row>
    <row r="33" spans="1:28" s="55" customFormat="1" ht="20.100000000000001" customHeight="1" x14ac:dyDescent="0.25">
      <c r="B33" s="102" t="s">
        <v>236</v>
      </c>
      <c r="C33" s="395"/>
      <c r="D33" s="54"/>
      <c r="E33" s="69" t="s">
        <v>237</v>
      </c>
      <c r="F33" s="395"/>
      <c r="G33" s="54"/>
      <c r="H33" s="54"/>
      <c r="I33" s="54"/>
      <c r="J33" s="54"/>
      <c r="M33" s="54"/>
      <c r="N33" s="57" t="s">
        <v>86</v>
      </c>
      <c r="O33" s="57">
        <v>2</v>
      </c>
      <c r="R33" s="59"/>
      <c r="T33" s="98"/>
      <c r="U33" s="98"/>
      <c r="V33" s="54"/>
      <c r="W33" s="99" t="s">
        <v>238</v>
      </c>
      <c r="X33" s="100">
        <v>3</v>
      </c>
      <c r="AA33" s="54"/>
    </row>
    <row r="34" spans="1:28" s="55" customFormat="1" ht="20.100000000000001" customHeight="1" x14ac:dyDescent="0.25">
      <c r="G34" s="54"/>
      <c r="J34" s="54"/>
      <c r="K34" s="54"/>
      <c r="L34" s="54"/>
      <c r="M34" s="54"/>
      <c r="R34" s="51" t="s">
        <v>239</v>
      </c>
      <c r="S34" s="52">
        <v>3</v>
      </c>
      <c r="T34" s="98"/>
      <c r="U34" s="98"/>
      <c r="V34" s="54"/>
      <c r="W34" s="59"/>
      <c r="X34" s="103"/>
      <c r="AA34" s="54"/>
    </row>
    <row r="35" spans="1:28" s="55" customFormat="1" ht="20.100000000000001" customHeight="1" x14ac:dyDescent="0.25">
      <c r="D35" s="54"/>
      <c r="G35" s="54"/>
      <c r="H35" s="54"/>
      <c r="I35" s="54"/>
      <c r="R35" s="59"/>
      <c r="U35" s="54"/>
      <c r="V35" s="54"/>
      <c r="W35" s="104" t="s">
        <v>146</v>
      </c>
      <c r="X35" s="105">
        <v>3</v>
      </c>
    </row>
    <row r="36" spans="1:28" s="55" customFormat="1" ht="13.5" customHeight="1" x14ac:dyDescent="0.25">
      <c r="B36" s="54"/>
      <c r="C36" s="54"/>
      <c r="D36" s="54"/>
      <c r="E36" s="54"/>
      <c r="F36" s="54"/>
      <c r="G36" s="54"/>
      <c r="H36" s="54"/>
      <c r="I36" s="54"/>
      <c r="Q36" s="54"/>
      <c r="R36" s="59"/>
      <c r="V36" s="54"/>
      <c r="W36" s="62"/>
      <c r="X36" s="63"/>
    </row>
    <row r="37" spans="1:28" s="55" customFormat="1" ht="20.100000000000001" customHeight="1" x14ac:dyDescent="0.25">
      <c r="Q37" s="54"/>
      <c r="R37" s="62"/>
      <c r="S37" s="63"/>
      <c r="T37" s="63"/>
      <c r="U37" s="63"/>
      <c r="V37" s="63"/>
      <c r="W37" s="106" t="s">
        <v>240</v>
      </c>
      <c r="X37" s="107">
        <v>2</v>
      </c>
      <c r="Y37" s="54"/>
    </row>
    <row r="38" spans="1:28" s="55" customFormat="1" ht="20.100000000000001" customHeight="1" x14ac:dyDescent="0.25">
      <c r="H38" s="51" t="s">
        <v>241</v>
      </c>
      <c r="I38" s="52">
        <v>3</v>
      </c>
      <c r="Q38" s="54"/>
      <c r="R38" s="62"/>
      <c r="S38" s="63"/>
      <c r="T38" s="63"/>
      <c r="U38" s="63"/>
      <c r="V38" s="63"/>
      <c r="W38" s="62"/>
      <c r="X38" s="63"/>
      <c r="Y38" s="54"/>
    </row>
    <row r="39" spans="1:28" s="55" customFormat="1" ht="20.100000000000001" customHeight="1" x14ac:dyDescent="0.25">
      <c r="D39" s="54"/>
      <c r="E39" s="54"/>
      <c r="G39" s="54"/>
      <c r="H39" s="70" t="s">
        <v>242</v>
      </c>
      <c r="I39" s="71">
        <v>2</v>
      </c>
      <c r="K39" s="51" t="s">
        <v>243</v>
      </c>
      <c r="L39" s="52">
        <v>3</v>
      </c>
      <c r="M39" s="54"/>
      <c r="N39" s="71" t="s">
        <v>78</v>
      </c>
      <c r="O39" s="71">
        <v>3</v>
      </c>
      <c r="P39" s="63"/>
      <c r="Q39" s="54"/>
      <c r="R39" s="106" t="s">
        <v>244</v>
      </c>
      <c r="S39" s="107">
        <v>3</v>
      </c>
      <c r="T39" s="63"/>
      <c r="U39" s="63"/>
      <c r="V39" s="63"/>
      <c r="W39" s="106" t="s">
        <v>245</v>
      </c>
      <c r="X39" s="107">
        <v>3</v>
      </c>
      <c r="Y39" s="54"/>
    </row>
    <row r="40" spans="1:28" s="55" customFormat="1" ht="12.75" customHeight="1" x14ac:dyDescent="0.25">
      <c r="D40" s="54"/>
      <c r="E40" s="54"/>
      <c r="G40" s="54"/>
      <c r="H40" s="63"/>
      <c r="I40" s="63"/>
      <c r="K40" s="63"/>
      <c r="L40" s="63"/>
      <c r="M40" s="54"/>
      <c r="N40" s="63"/>
      <c r="O40" s="63"/>
      <c r="P40" s="63"/>
      <c r="Q40" s="63"/>
      <c r="R40" s="62"/>
      <c r="S40" s="63"/>
      <c r="T40" s="63"/>
      <c r="W40" s="62"/>
      <c r="X40" s="63"/>
      <c r="Y40" s="54"/>
    </row>
    <row r="41" spans="1:28" s="55" customFormat="1" ht="25.5" customHeight="1" x14ac:dyDescent="0.25">
      <c r="B41" s="56" t="s">
        <v>246</v>
      </c>
      <c r="C41" s="57">
        <v>3</v>
      </c>
      <c r="D41" s="54"/>
      <c r="E41" s="108"/>
      <c r="F41" s="63"/>
      <c r="G41" s="54"/>
      <c r="H41" s="70" t="s">
        <v>52</v>
      </c>
      <c r="I41" s="71">
        <v>3</v>
      </c>
      <c r="J41" s="54"/>
      <c r="K41" s="70" t="s">
        <v>189</v>
      </c>
      <c r="L41" s="71">
        <v>3</v>
      </c>
      <c r="M41" s="54"/>
      <c r="N41" s="109" t="s">
        <v>247</v>
      </c>
      <c r="O41" s="52">
        <v>3</v>
      </c>
      <c r="Q41" s="54"/>
      <c r="R41" s="110" t="s">
        <v>190</v>
      </c>
      <c r="S41" s="111">
        <v>3</v>
      </c>
      <c r="V41" s="54"/>
      <c r="W41" s="110" t="s">
        <v>248</v>
      </c>
      <c r="X41" s="111">
        <v>2</v>
      </c>
      <c r="Y41" s="54"/>
    </row>
    <row r="42" spans="1:28" s="55" customFormat="1" ht="9.75" customHeight="1" x14ac:dyDescent="0.25">
      <c r="G42" s="54"/>
      <c r="M42" s="54"/>
      <c r="Q42" s="54"/>
      <c r="R42" s="58"/>
      <c r="S42" s="54"/>
      <c r="T42" s="63"/>
      <c r="W42" s="64"/>
      <c r="X42" s="65"/>
      <c r="Y42" s="54"/>
      <c r="Z42" s="54"/>
      <c r="AA42" s="54"/>
    </row>
    <row r="43" spans="1:28" s="55" customFormat="1" ht="20.100000000000001" customHeight="1" x14ac:dyDescent="0.25">
      <c r="B43" s="112" t="s">
        <v>249</v>
      </c>
      <c r="C43" s="386">
        <v>2</v>
      </c>
      <c r="D43" s="54"/>
      <c r="E43" s="87" t="s">
        <v>249</v>
      </c>
      <c r="F43" s="394">
        <v>2</v>
      </c>
      <c r="G43" s="54"/>
      <c r="H43" s="113" t="s">
        <v>250</v>
      </c>
      <c r="I43" s="386">
        <v>2</v>
      </c>
      <c r="R43" s="59"/>
      <c r="W43" s="114" t="s">
        <v>251</v>
      </c>
      <c r="X43" s="396">
        <v>3</v>
      </c>
      <c r="Y43" s="54"/>
      <c r="Z43" s="54"/>
      <c r="AA43" s="54"/>
    </row>
    <row r="44" spans="1:28" s="55" customFormat="1" ht="12.75" customHeight="1" x14ac:dyDescent="0.25">
      <c r="B44" s="115" t="s">
        <v>252</v>
      </c>
      <c r="C44" s="387"/>
      <c r="E44" s="116" t="s">
        <v>253</v>
      </c>
      <c r="F44" s="395"/>
      <c r="H44" s="80" t="s">
        <v>254</v>
      </c>
      <c r="I44" s="387"/>
      <c r="R44" s="59"/>
      <c r="W44" s="117" t="s">
        <v>255</v>
      </c>
      <c r="X44" s="397"/>
    </row>
    <row r="45" spans="1:28" s="55" customFormat="1" ht="9.75" customHeight="1" x14ac:dyDescent="0.25">
      <c r="B45" s="63"/>
      <c r="C45" s="63"/>
      <c r="D45" s="63"/>
      <c r="E45" s="63"/>
      <c r="F45" s="63"/>
      <c r="G45" s="54"/>
      <c r="H45" s="54"/>
      <c r="I45" s="54"/>
      <c r="R45" s="118"/>
      <c r="S45" s="119"/>
      <c r="W45" s="59"/>
      <c r="Y45" s="54"/>
      <c r="Z45" s="54"/>
      <c r="AA45" s="54"/>
    </row>
    <row r="46" spans="1:28" ht="25.5" customHeight="1" x14ac:dyDescent="0.2">
      <c r="A46" s="55"/>
      <c r="B46" s="51" t="s">
        <v>256</v>
      </c>
      <c r="C46" s="52">
        <v>3</v>
      </c>
      <c r="D46" s="54"/>
      <c r="E46" s="57" t="s">
        <v>40</v>
      </c>
      <c r="F46" s="57">
        <v>3</v>
      </c>
      <c r="G46" s="54"/>
      <c r="H46" s="51" t="s">
        <v>257</v>
      </c>
      <c r="I46" s="52">
        <v>3</v>
      </c>
      <c r="J46" s="54"/>
      <c r="K46" s="55"/>
      <c r="L46" s="55"/>
      <c r="M46" s="54"/>
      <c r="N46" s="55"/>
      <c r="O46" s="55"/>
      <c r="P46" s="55"/>
      <c r="Q46" s="55"/>
      <c r="R46" s="83" t="s">
        <v>258</v>
      </c>
      <c r="S46" s="120">
        <v>3</v>
      </c>
      <c r="T46" s="55"/>
      <c r="U46" s="55"/>
      <c r="V46" s="55"/>
      <c r="W46" s="59"/>
      <c r="X46" s="55"/>
      <c r="Y46" s="54"/>
      <c r="Z46" s="57" t="s">
        <v>259</v>
      </c>
      <c r="AA46" s="57">
        <v>6</v>
      </c>
      <c r="AB46" s="55"/>
    </row>
    <row r="47" spans="1:28" ht="4.5" customHeight="1" x14ac:dyDescent="0.2">
      <c r="B47" s="48"/>
      <c r="C47" s="48"/>
      <c r="D47" s="48"/>
      <c r="E47" s="48"/>
      <c r="F47" s="48"/>
      <c r="G47" s="48"/>
      <c r="H47" s="121"/>
      <c r="I47" s="121"/>
      <c r="J47" s="48"/>
      <c r="K47" s="48"/>
      <c r="L47" s="48"/>
      <c r="M47" s="48"/>
      <c r="N47" s="48"/>
      <c r="O47" s="48"/>
      <c r="R47" s="122"/>
      <c r="S47" s="123"/>
      <c r="T47" s="123"/>
      <c r="W47" s="122"/>
      <c r="X47" s="124"/>
      <c r="Y47" s="48"/>
    </row>
    <row r="48" spans="1:28" ht="10.5" customHeight="1" x14ac:dyDescent="0.2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R48" s="122"/>
      <c r="S48" s="123"/>
      <c r="T48" s="123"/>
      <c r="W48" s="122"/>
      <c r="X48" s="124"/>
      <c r="Y48" s="48"/>
      <c r="Z48" s="48"/>
      <c r="AA48" s="48"/>
    </row>
    <row r="49" spans="2:27" ht="15" customHeight="1" x14ac:dyDescent="0.2">
      <c r="B49" s="48"/>
      <c r="C49" s="52">
        <f>SUM(C6:C47)</f>
        <v>19</v>
      </c>
      <c r="D49" s="125"/>
      <c r="E49" s="125"/>
      <c r="F49" s="52">
        <f>SUM(F6:F47)</f>
        <v>18</v>
      </c>
      <c r="G49" s="44"/>
      <c r="H49" s="44"/>
      <c r="I49" s="52">
        <f>SUM(I6:I47)</f>
        <v>21</v>
      </c>
      <c r="J49" s="44"/>
      <c r="K49" s="44"/>
      <c r="L49" s="52">
        <f>SUM(L6:L47)</f>
        <v>22</v>
      </c>
      <c r="M49" s="44"/>
      <c r="N49" s="44"/>
      <c r="O49" s="52">
        <f>SUM(O6:O47)</f>
        <v>22</v>
      </c>
      <c r="P49" s="44"/>
      <c r="Q49" s="44"/>
      <c r="R49" s="126"/>
      <c r="S49" s="52">
        <v>21</v>
      </c>
      <c r="T49" s="44"/>
      <c r="U49" s="44"/>
      <c r="V49" s="44"/>
      <c r="W49" s="126"/>
      <c r="X49" s="52">
        <v>17</v>
      </c>
      <c r="Y49" s="125"/>
      <c r="Z49" s="127"/>
      <c r="AA49" s="52">
        <v>6</v>
      </c>
    </row>
    <row r="50" spans="2:27" ht="12.75" customHeight="1" x14ac:dyDescent="0.2">
      <c r="E50" s="128" t="s">
        <v>260</v>
      </c>
      <c r="Q50" s="35"/>
      <c r="R50" s="42"/>
      <c r="S50" s="35"/>
      <c r="T50" s="35"/>
      <c r="U50" s="35"/>
      <c r="V50" s="35"/>
      <c r="W50" s="42"/>
      <c r="X50" s="34"/>
      <c r="Y50" s="35"/>
      <c r="Z50" s="48"/>
    </row>
    <row r="51" spans="2:27" ht="15" customHeight="1" x14ac:dyDescent="0.2">
      <c r="B51" s="127" t="s">
        <v>261</v>
      </c>
      <c r="C51" s="129">
        <f>+C49+F49+I49+L49+O49+S49+X49+AA46</f>
        <v>146</v>
      </c>
      <c r="F51" s="37" t="s">
        <v>262</v>
      </c>
      <c r="L51" s="48"/>
      <c r="M51" s="48"/>
      <c r="N51" s="48"/>
      <c r="P51" s="37" t="s">
        <v>263</v>
      </c>
      <c r="Q51" s="35"/>
      <c r="R51" s="42"/>
      <c r="S51" s="35"/>
      <c r="T51" s="35"/>
      <c r="U51" s="35"/>
      <c r="V51" s="35"/>
      <c r="X51" s="34"/>
      <c r="Y51" s="35"/>
    </row>
    <row r="52" spans="2:27" ht="15" customHeight="1" x14ac:dyDescent="0.2">
      <c r="E52" s="48"/>
      <c r="F52" s="37" t="s">
        <v>264</v>
      </c>
      <c r="L52" s="48"/>
      <c r="M52" s="48"/>
      <c r="N52" s="48"/>
      <c r="Q52" s="35"/>
      <c r="R52" s="131"/>
      <c r="S52" s="35"/>
      <c r="T52" s="35"/>
      <c r="U52" s="35"/>
      <c r="V52" s="35"/>
      <c r="W52" s="42"/>
      <c r="X52" s="34"/>
      <c r="Y52" s="35"/>
    </row>
    <row r="53" spans="2:27" ht="15" customHeight="1" x14ac:dyDescent="0.2">
      <c r="E53" s="48"/>
      <c r="F53" s="127" t="s">
        <v>265</v>
      </c>
      <c r="L53" s="48"/>
      <c r="M53" s="48"/>
      <c r="N53" s="48"/>
      <c r="Q53" s="35"/>
      <c r="R53" s="131"/>
      <c r="S53" s="35"/>
      <c r="T53" s="35"/>
      <c r="U53" s="35"/>
      <c r="V53" s="35"/>
      <c r="W53" s="42"/>
      <c r="X53" s="34"/>
      <c r="Y53" s="35"/>
    </row>
    <row r="54" spans="2:27" ht="21.75" customHeight="1" x14ac:dyDescent="0.4">
      <c r="F54" s="37" t="s">
        <v>266</v>
      </c>
      <c r="Q54" s="35"/>
      <c r="R54" s="42"/>
      <c r="S54" s="35"/>
      <c r="T54" s="35"/>
      <c r="U54" s="35"/>
      <c r="V54" s="35"/>
      <c r="W54" s="42"/>
      <c r="X54" s="34"/>
      <c r="Y54" s="35"/>
      <c r="AA54" s="132"/>
    </row>
    <row r="55" spans="2:27" ht="15" customHeight="1" x14ac:dyDescent="0.2">
      <c r="W55" s="122"/>
      <c r="X55" s="124"/>
      <c r="Y55" s="48"/>
    </row>
    <row r="56" spans="2:27" ht="15" customHeight="1" x14ac:dyDescent="0.2"/>
    <row r="57" spans="2:27" ht="15" customHeight="1" x14ac:dyDescent="0.2"/>
    <row r="58" spans="2:27" ht="15" customHeight="1" x14ac:dyDescent="0.2"/>
    <row r="59" spans="2:27" ht="15" customHeight="1" x14ac:dyDescent="0.2"/>
    <row r="60" spans="2:27" ht="15" customHeight="1" x14ac:dyDescent="0.2"/>
    <row r="61" spans="2:27" ht="15" customHeight="1" x14ac:dyDescent="0.2"/>
    <row r="62" spans="2:27" ht="15" customHeight="1" x14ac:dyDescent="0.2"/>
    <row r="63" spans="2:27" ht="15" customHeight="1" x14ac:dyDescent="0.2"/>
    <row r="64" spans="2:27" ht="15" customHeight="1" x14ac:dyDescent="0.2"/>
    <row r="65" spans="8:19" ht="15" customHeight="1" x14ac:dyDescent="0.2"/>
    <row r="66" spans="8:19" ht="15" customHeight="1" x14ac:dyDescent="0.2"/>
    <row r="67" spans="8:19" ht="15" customHeight="1" x14ac:dyDescent="0.2">
      <c r="H67" s="134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</row>
    <row r="68" spans="8:19" ht="15" customHeight="1" x14ac:dyDescent="0.3">
      <c r="H68" s="134"/>
      <c r="I68" s="136"/>
      <c r="J68" s="136"/>
      <c r="K68" s="136"/>
      <c r="L68" s="136"/>
      <c r="M68" s="136"/>
      <c r="N68" s="136"/>
      <c r="O68" s="39"/>
      <c r="P68" s="39"/>
      <c r="Q68" s="39"/>
      <c r="R68" s="39"/>
      <c r="S68" s="39"/>
    </row>
    <row r="69" spans="8:19" ht="15" customHeight="1" x14ac:dyDescent="0.2"/>
    <row r="70" spans="8:19" ht="14.25" customHeight="1" x14ac:dyDescent="0.2"/>
    <row r="71" spans="8:19" ht="15" customHeight="1" x14ac:dyDescent="0.2"/>
    <row r="72" spans="8:19" ht="15" customHeight="1" x14ac:dyDescent="0.2"/>
    <row r="73" spans="8:19" ht="15" customHeight="1" x14ac:dyDescent="0.2"/>
    <row r="74" spans="8:19" ht="15" customHeight="1" x14ac:dyDescent="0.2"/>
    <row r="75" spans="8:19" ht="15" customHeight="1" x14ac:dyDescent="0.2"/>
    <row r="76" spans="8:19" ht="15" customHeight="1" x14ac:dyDescent="0.2"/>
    <row r="77" spans="8:19" ht="15" customHeight="1" x14ac:dyDescent="0.2"/>
    <row r="78" spans="8:19" ht="15" customHeight="1" x14ac:dyDescent="0.2"/>
    <row r="79" spans="8:19" ht="15" customHeight="1" x14ac:dyDescent="0.2"/>
    <row r="80" spans="8:19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</sheetData>
  <mergeCells count="17">
    <mergeCell ref="C43:C44"/>
    <mergeCell ref="F43:F44"/>
    <mergeCell ref="I43:I44"/>
    <mergeCell ref="X43:X44"/>
    <mergeCell ref="F21:F22"/>
    <mergeCell ref="I25:I26"/>
    <mergeCell ref="X26:X27"/>
    <mergeCell ref="S31:S32"/>
    <mergeCell ref="C32:C33"/>
    <mergeCell ref="F32:F33"/>
    <mergeCell ref="L18:L19"/>
    <mergeCell ref="O18:O19"/>
    <mergeCell ref="B1:V1"/>
    <mergeCell ref="B2:W2"/>
    <mergeCell ref="Z4:AA4"/>
    <mergeCell ref="C8:C9"/>
    <mergeCell ref="C14:C15"/>
  </mergeCells>
  <printOptions horizontalCentered="1"/>
  <pageMargins left="0" right="0" top="0" bottom="0" header="0.13" footer="0.14000000000000001"/>
  <pageSetup paperSize="9" scale="6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4"/>
  <sheetViews>
    <sheetView topLeftCell="A15" zoomScaleNormal="100" workbookViewId="0">
      <selection activeCell="Z18" sqref="Z18"/>
    </sheetView>
  </sheetViews>
  <sheetFormatPr defaultRowHeight="15" x14ac:dyDescent="0.25"/>
  <cols>
    <col min="2" max="2" width="15.140625" customWidth="1"/>
    <col min="3" max="3" width="40.85546875" customWidth="1"/>
    <col min="4" max="4" width="9" customWidth="1"/>
    <col min="5" max="5" width="10.5703125" bestFit="1" customWidth="1"/>
    <col min="6" max="6" width="38.28515625" customWidth="1"/>
    <col min="7" max="7" width="33.42578125" customWidth="1"/>
  </cols>
  <sheetData>
    <row r="2" spans="1:4" ht="16.5" thickBot="1" x14ac:dyDescent="0.3">
      <c r="A2" s="228" t="s">
        <v>0</v>
      </c>
    </row>
    <row r="3" spans="1:4" ht="15.75" thickBot="1" x14ac:dyDescent="0.3">
      <c r="A3" s="206" t="s">
        <v>1</v>
      </c>
      <c r="B3" s="207" t="s">
        <v>2</v>
      </c>
      <c r="C3" s="207" t="s">
        <v>3</v>
      </c>
      <c r="D3" s="207" t="s">
        <v>4</v>
      </c>
    </row>
    <row r="4" spans="1:4" ht="15.75" thickBot="1" x14ac:dyDescent="0.3">
      <c r="A4" s="402" t="s">
        <v>6</v>
      </c>
      <c r="B4" s="403"/>
      <c r="C4" s="403"/>
      <c r="D4" s="403"/>
    </row>
    <row r="5" spans="1:4" ht="15.75" thickBot="1" x14ac:dyDescent="0.3">
      <c r="A5" s="208">
        <v>1</v>
      </c>
      <c r="B5" s="209" t="s">
        <v>7</v>
      </c>
      <c r="C5" s="210" t="s">
        <v>281</v>
      </c>
      <c r="D5" s="209">
        <v>3</v>
      </c>
    </row>
    <row r="6" spans="1:4" ht="15.75" thickBot="1" x14ac:dyDescent="0.3">
      <c r="A6" s="208">
        <v>2</v>
      </c>
      <c r="B6" s="209" t="s">
        <v>10</v>
      </c>
      <c r="C6" s="211" t="s">
        <v>11</v>
      </c>
      <c r="D6" s="209">
        <v>3</v>
      </c>
    </row>
    <row r="7" spans="1:4" ht="15.75" thickBot="1" x14ac:dyDescent="0.3">
      <c r="A7" s="208">
        <v>3</v>
      </c>
      <c r="B7" s="209" t="s">
        <v>12</v>
      </c>
      <c r="C7" s="211" t="s">
        <v>13</v>
      </c>
      <c r="D7" s="209">
        <v>3</v>
      </c>
    </row>
    <row r="8" spans="1:4" ht="15.75" thickBot="1" x14ac:dyDescent="0.3">
      <c r="A8" s="208">
        <v>4</v>
      </c>
      <c r="B8" s="209" t="s">
        <v>14</v>
      </c>
      <c r="C8" s="210" t="s">
        <v>284</v>
      </c>
      <c r="D8" s="209">
        <v>2</v>
      </c>
    </row>
    <row r="9" spans="1:4" ht="15.75" thickBot="1" x14ac:dyDescent="0.3">
      <c r="A9" s="208">
        <v>5</v>
      </c>
      <c r="B9" s="209" t="s">
        <v>17</v>
      </c>
      <c r="C9" s="211" t="s">
        <v>18</v>
      </c>
      <c r="D9" s="209">
        <v>3</v>
      </c>
    </row>
    <row r="10" spans="1:4" ht="15.75" thickBot="1" x14ac:dyDescent="0.3">
      <c r="A10" s="208">
        <v>6</v>
      </c>
      <c r="B10" s="209" t="s">
        <v>19</v>
      </c>
      <c r="C10" s="211" t="s">
        <v>20</v>
      </c>
      <c r="D10" s="209">
        <v>2</v>
      </c>
    </row>
    <row r="11" spans="1:4" ht="15.75" thickBot="1" x14ac:dyDescent="0.3">
      <c r="A11" s="208">
        <v>7</v>
      </c>
      <c r="B11" s="209" t="s">
        <v>22</v>
      </c>
      <c r="C11" s="210" t="s">
        <v>285</v>
      </c>
      <c r="D11" s="209">
        <v>3</v>
      </c>
    </row>
    <row r="12" spans="1:4" ht="15.75" thickBot="1" x14ac:dyDescent="0.3">
      <c r="A12" s="208"/>
      <c r="B12" s="209"/>
      <c r="C12" s="210"/>
      <c r="D12" s="209"/>
    </row>
    <row r="13" spans="1:4" ht="15.75" thickBot="1" x14ac:dyDescent="0.3">
      <c r="A13" s="212"/>
      <c r="B13" s="213"/>
      <c r="C13" s="214"/>
      <c r="D13" s="215">
        <v>19</v>
      </c>
    </row>
    <row r="14" spans="1:4" ht="15.75" thickBot="1" x14ac:dyDescent="0.3">
      <c r="A14" s="402" t="s">
        <v>24</v>
      </c>
      <c r="B14" s="403"/>
      <c r="C14" s="403"/>
      <c r="D14" s="403"/>
    </row>
    <row r="15" spans="1:4" ht="15.75" thickBot="1" x14ac:dyDescent="0.3">
      <c r="A15" s="208">
        <v>1</v>
      </c>
      <c r="B15" s="209" t="s">
        <v>25</v>
      </c>
      <c r="C15" s="211" t="s">
        <v>26</v>
      </c>
      <c r="D15" s="209">
        <v>2</v>
      </c>
    </row>
    <row r="16" spans="1:4" ht="15.75" thickBot="1" x14ac:dyDescent="0.3">
      <c r="A16" s="208">
        <v>2</v>
      </c>
      <c r="B16" s="209" t="s">
        <v>27</v>
      </c>
      <c r="C16" s="210" t="s">
        <v>286</v>
      </c>
      <c r="D16" s="209">
        <v>3</v>
      </c>
    </row>
    <row r="17" spans="1:4" ht="15.75" thickBot="1" x14ac:dyDescent="0.3">
      <c r="A17" s="208">
        <v>3</v>
      </c>
      <c r="B17" s="209" t="s">
        <v>29</v>
      </c>
      <c r="C17" s="211" t="s">
        <v>30</v>
      </c>
      <c r="D17" s="209">
        <v>2</v>
      </c>
    </row>
    <row r="18" spans="1:4" ht="15.75" thickBot="1" x14ac:dyDescent="0.3">
      <c r="A18" s="208">
        <v>4</v>
      </c>
      <c r="B18" s="209" t="s">
        <v>31</v>
      </c>
      <c r="C18" s="210" t="s">
        <v>287</v>
      </c>
      <c r="D18" s="209">
        <v>2</v>
      </c>
    </row>
    <row r="19" spans="1:4" ht="15.75" thickBot="1" x14ac:dyDescent="0.3">
      <c r="A19" s="208">
        <v>5</v>
      </c>
      <c r="B19" s="209" t="s">
        <v>33</v>
      </c>
      <c r="C19" s="211" t="s">
        <v>34</v>
      </c>
      <c r="D19" s="209">
        <v>2</v>
      </c>
    </row>
    <row r="20" spans="1:4" ht="29.25" thickBot="1" x14ac:dyDescent="0.3">
      <c r="A20" s="208">
        <v>6</v>
      </c>
      <c r="B20" s="209" t="s">
        <v>35</v>
      </c>
      <c r="C20" s="210" t="s">
        <v>288</v>
      </c>
      <c r="D20" s="209">
        <v>2</v>
      </c>
    </row>
    <row r="21" spans="1:4" ht="15.75" thickBot="1" x14ac:dyDescent="0.3">
      <c r="A21" s="208">
        <v>7</v>
      </c>
      <c r="B21" s="209" t="s">
        <v>37</v>
      </c>
      <c r="C21" s="211" t="s">
        <v>38</v>
      </c>
      <c r="D21" s="209">
        <v>2</v>
      </c>
    </row>
    <row r="22" spans="1:4" ht="15.75" thickBot="1" x14ac:dyDescent="0.3">
      <c r="A22" s="208">
        <v>8</v>
      </c>
      <c r="B22" s="209" t="s">
        <v>39</v>
      </c>
      <c r="C22" s="211" t="s">
        <v>40</v>
      </c>
      <c r="D22" s="209">
        <v>3</v>
      </c>
    </row>
    <row r="23" spans="1:4" ht="15.75" thickBot="1" x14ac:dyDescent="0.3">
      <c r="A23" s="212"/>
      <c r="B23" s="213"/>
      <c r="C23" s="214"/>
      <c r="D23" s="215">
        <v>18</v>
      </c>
    </row>
    <row r="24" spans="1:4" ht="15.75" thickBot="1" x14ac:dyDescent="0.3">
      <c r="A24" s="402" t="s">
        <v>41</v>
      </c>
      <c r="B24" s="403"/>
      <c r="C24" s="403"/>
      <c r="D24" s="403"/>
    </row>
    <row r="25" spans="1:4" ht="15.75" thickBot="1" x14ac:dyDescent="0.3">
      <c r="A25" s="208">
        <v>1</v>
      </c>
      <c r="B25" s="209" t="s">
        <v>42</v>
      </c>
      <c r="C25" s="211" t="s">
        <v>43</v>
      </c>
      <c r="D25" s="209">
        <v>3</v>
      </c>
    </row>
    <row r="26" spans="1:4" ht="15.75" thickBot="1" x14ac:dyDescent="0.3">
      <c r="A26" s="208">
        <v>2</v>
      </c>
      <c r="B26" s="209" t="s">
        <v>45</v>
      </c>
      <c r="C26" s="210" t="s">
        <v>320</v>
      </c>
      <c r="D26" s="209">
        <v>3</v>
      </c>
    </row>
    <row r="27" spans="1:4" ht="15.75" thickBot="1" x14ac:dyDescent="0.3">
      <c r="A27" s="208">
        <v>3</v>
      </c>
      <c r="B27" s="209" t="s">
        <v>47</v>
      </c>
      <c r="C27" s="211" t="s">
        <v>48</v>
      </c>
      <c r="D27" s="209">
        <v>2</v>
      </c>
    </row>
    <row r="28" spans="1:4" ht="15.75" thickBot="1" x14ac:dyDescent="0.3">
      <c r="A28" s="208">
        <v>4</v>
      </c>
      <c r="B28" s="209" t="s">
        <v>49</v>
      </c>
      <c r="C28" s="211" t="s">
        <v>50</v>
      </c>
      <c r="D28" s="209">
        <v>3</v>
      </c>
    </row>
    <row r="29" spans="1:4" ht="15.75" thickBot="1" x14ac:dyDescent="0.3">
      <c r="A29" s="208">
        <v>5</v>
      </c>
      <c r="B29" s="209" t="s">
        <v>51</v>
      </c>
      <c r="C29" s="211" t="s">
        <v>290</v>
      </c>
      <c r="D29" s="209">
        <v>3</v>
      </c>
    </row>
    <row r="30" spans="1:4" ht="15.75" thickBot="1" x14ac:dyDescent="0.3">
      <c r="A30" s="208">
        <v>6</v>
      </c>
      <c r="B30" s="209" t="s">
        <v>53</v>
      </c>
      <c r="C30" s="211" t="s">
        <v>54</v>
      </c>
      <c r="D30" s="209">
        <v>2</v>
      </c>
    </row>
    <row r="31" spans="1:4" ht="29.25" thickBot="1" x14ac:dyDescent="0.3">
      <c r="A31" s="208">
        <v>7</v>
      </c>
      <c r="B31" s="209" t="s">
        <v>55</v>
      </c>
      <c r="C31" s="210" t="s">
        <v>291</v>
      </c>
      <c r="D31" s="209">
        <v>3</v>
      </c>
    </row>
    <row r="32" spans="1:4" ht="15.75" thickBot="1" x14ac:dyDescent="0.3">
      <c r="A32" s="208">
        <v>8</v>
      </c>
      <c r="B32" s="209" t="s">
        <v>57</v>
      </c>
      <c r="C32" s="211" t="s">
        <v>58</v>
      </c>
      <c r="D32" s="209">
        <v>2</v>
      </c>
    </row>
    <row r="33" spans="1:4" ht="15.75" thickBot="1" x14ac:dyDescent="0.3">
      <c r="A33" s="212"/>
      <c r="B33" s="213"/>
      <c r="C33" s="214"/>
      <c r="D33" s="215">
        <v>21</v>
      </c>
    </row>
    <row r="34" spans="1:4" ht="15.75" thickBot="1" x14ac:dyDescent="0.3">
      <c r="A34" s="402" t="s">
        <v>59</v>
      </c>
      <c r="B34" s="403"/>
      <c r="C34" s="403"/>
      <c r="D34" s="403"/>
    </row>
    <row r="35" spans="1:4" ht="15.75" thickBot="1" x14ac:dyDescent="0.3">
      <c r="A35" s="208">
        <v>1</v>
      </c>
      <c r="B35" s="216" t="s">
        <v>60</v>
      </c>
      <c r="C35" s="217" t="s">
        <v>292</v>
      </c>
      <c r="D35" s="216">
        <v>3</v>
      </c>
    </row>
    <row r="36" spans="1:4" ht="15.75" thickBot="1" x14ac:dyDescent="0.3">
      <c r="A36" s="208">
        <v>2</v>
      </c>
      <c r="B36" s="216" t="s">
        <v>62</v>
      </c>
      <c r="C36" s="217" t="s">
        <v>293</v>
      </c>
      <c r="D36" s="216">
        <v>3</v>
      </c>
    </row>
    <row r="37" spans="1:4" ht="29.25" thickBot="1" x14ac:dyDescent="0.3">
      <c r="A37" s="208">
        <v>3</v>
      </c>
      <c r="B37" s="216" t="s">
        <v>64</v>
      </c>
      <c r="C37" s="217" t="s">
        <v>294</v>
      </c>
      <c r="D37" s="216">
        <v>3</v>
      </c>
    </row>
    <row r="38" spans="1:4" ht="15.75" thickBot="1" x14ac:dyDescent="0.3">
      <c r="A38" s="208">
        <v>4</v>
      </c>
      <c r="B38" s="216" t="s">
        <v>66</v>
      </c>
      <c r="C38" s="218" t="s">
        <v>182</v>
      </c>
      <c r="D38" s="216">
        <v>2</v>
      </c>
    </row>
    <row r="39" spans="1:4" ht="15.75" thickBot="1" x14ac:dyDescent="0.3">
      <c r="A39" s="208">
        <v>5</v>
      </c>
      <c r="B39" s="216" t="s">
        <v>67</v>
      </c>
      <c r="C39" s="218" t="s">
        <v>68</v>
      </c>
      <c r="D39" s="216">
        <v>3</v>
      </c>
    </row>
    <row r="40" spans="1:4" ht="15.75" thickBot="1" x14ac:dyDescent="0.3">
      <c r="A40" s="208">
        <v>6</v>
      </c>
      <c r="B40" s="216" t="s">
        <v>69</v>
      </c>
      <c r="C40" s="218" t="s">
        <v>70</v>
      </c>
      <c r="D40" s="216">
        <v>3</v>
      </c>
    </row>
    <row r="41" spans="1:4" ht="15.75" thickBot="1" x14ac:dyDescent="0.3">
      <c r="A41" s="208">
        <v>7</v>
      </c>
      <c r="B41" s="209" t="s">
        <v>71</v>
      </c>
      <c r="C41" s="211" t="s">
        <v>296</v>
      </c>
      <c r="D41" s="209">
        <v>3</v>
      </c>
    </row>
    <row r="42" spans="1:4" ht="15.75" thickBot="1" x14ac:dyDescent="0.3">
      <c r="A42" s="208">
        <v>8</v>
      </c>
      <c r="B42" s="216" t="s">
        <v>72</v>
      </c>
      <c r="C42" s="218" t="s">
        <v>73</v>
      </c>
      <c r="D42" s="216">
        <v>2</v>
      </c>
    </row>
    <row r="43" spans="1:4" ht="15.75" thickBot="1" x14ac:dyDescent="0.3">
      <c r="A43" s="212"/>
      <c r="B43" s="213"/>
      <c r="C43" s="214"/>
      <c r="D43" s="215">
        <v>22</v>
      </c>
    </row>
    <row r="44" spans="1:4" ht="15.75" thickBot="1" x14ac:dyDescent="0.3">
      <c r="A44" s="402" t="s">
        <v>74</v>
      </c>
      <c r="B44" s="403"/>
      <c r="C44" s="403"/>
      <c r="D44" s="403"/>
    </row>
    <row r="45" spans="1:4" ht="15.75" thickBot="1" x14ac:dyDescent="0.3">
      <c r="A45" s="208">
        <v>1</v>
      </c>
      <c r="B45" s="216" t="s">
        <v>75</v>
      </c>
      <c r="C45" s="211" t="s">
        <v>321</v>
      </c>
      <c r="D45" s="209">
        <v>2</v>
      </c>
    </row>
    <row r="46" spans="1:4" ht="15.75" thickBot="1" x14ac:dyDescent="0.3">
      <c r="A46" s="208">
        <v>2</v>
      </c>
      <c r="B46" s="216" t="s">
        <v>77</v>
      </c>
      <c r="C46" s="218" t="s">
        <v>322</v>
      </c>
      <c r="D46" s="216">
        <v>3</v>
      </c>
    </row>
    <row r="47" spans="1:4" ht="15.75" thickBot="1" x14ac:dyDescent="0.3">
      <c r="A47" s="208">
        <v>3</v>
      </c>
      <c r="B47" s="216" t="s">
        <v>79</v>
      </c>
      <c r="C47" s="218" t="s">
        <v>80</v>
      </c>
      <c r="D47" s="216">
        <v>3</v>
      </c>
    </row>
    <row r="48" spans="1:4" ht="15.75" thickBot="1" x14ac:dyDescent="0.3">
      <c r="A48" s="208">
        <v>4</v>
      </c>
      <c r="B48" s="216" t="s">
        <v>81</v>
      </c>
      <c r="C48" s="217" t="s">
        <v>301</v>
      </c>
      <c r="D48" s="216">
        <v>3</v>
      </c>
    </row>
    <row r="49" spans="1:4" ht="15.75" thickBot="1" x14ac:dyDescent="0.3">
      <c r="A49" s="208">
        <v>5</v>
      </c>
      <c r="B49" s="216" t="s">
        <v>83</v>
      </c>
      <c r="C49" s="217" t="s">
        <v>302</v>
      </c>
      <c r="D49" s="216">
        <v>3</v>
      </c>
    </row>
    <row r="50" spans="1:4" ht="15.75" thickBot="1" x14ac:dyDescent="0.3">
      <c r="A50" s="208">
        <v>6</v>
      </c>
      <c r="B50" s="216" t="s">
        <v>85</v>
      </c>
      <c r="C50" s="218" t="s">
        <v>86</v>
      </c>
      <c r="D50" s="216">
        <v>2</v>
      </c>
    </row>
    <row r="51" spans="1:4" ht="29.25" thickBot="1" x14ac:dyDescent="0.3">
      <c r="A51" s="208">
        <v>7</v>
      </c>
      <c r="B51" s="209" t="s">
        <v>323</v>
      </c>
      <c r="C51" s="210" t="s">
        <v>324</v>
      </c>
      <c r="D51" s="209">
        <v>3</v>
      </c>
    </row>
    <row r="52" spans="1:4" ht="15.75" thickBot="1" x14ac:dyDescent="0.3">
      <c r="A52" s="208">
        <v>8</v>
      </c>
      <c r="B52" s="216" t="s">
        <v>88</v>
      </c>
      <c r="C52" s="218" t="s">
        <v>89</v>
      </c>
      <c r="D52" s="216">
        <v>3</v>
      </c>
    </row>
    <row r="53" spans="1:4" ht="15.75" thickBot="1" x14ac:dyDescent="0.3">
      <c r="A53" s="212"/>
      <c r="B53" s="213"/>
      <c r="C53" s="214"/>
      <c r="D53" s="215">
        <v>22</v>
      </c>
    </row>
    <row r="54" spans="1:4" ht="15.75" thickBot="1" x14ac:dyDescent="0.3">
      <c r="A54" s="402" t="s">
        <v>90</v>
      </c>
      <c r="B54" s="403"/>
      <c r="C54" s="403"/>
      <c r="D54" s="403"/>
    </row>
    <row r="55" spans="1:4" ht="15.75" thickBot="1" x14ac:dyDescent="0.3">
      <c r="A55" s="208">
        <v>1</v>
      </c>
      <c r="B55" s="216" t="s">
        <v>91</v>
      </c>
      <c r="C55" s="218" t="s">
        <v>92</v>
      </c>
      <c r="D55" s="216">
        <v>3</v>
      </c>
    </row>
    <row r="56" spans="1:4" ht="29.25" thickBot="1" x14ac:dyDescent="0.3">
      <c r="A56" s="208">
        <v>2</v>
      </c>
      <c r="B56" s="216" t="s">
        <v>93</v>
      </c>
      <c r="C56" s="217" t="s">
        <v>305</v>
      </c>
      <c r="D56" s="216">
        <v>3</v>
      </c>
    </row>
    <row r="57" spans="1:4" ht="15.75" thickBot="1" x14ac:dyDescent="0.3">
      <c r="A57" s="208">
        <v>3</v>
      </c>
      <c r="B57" s="216" t="s">
        <v>325</v>
      </c>
      <c r="C57" s="217" t="s">
        <v>314</v>
      </c>
      <c r="D57" s="216">
        <v>3</v>
      </c>
    </row>
    <row r="58" spans="1:4" ht="15.75" thickBot="1" x14ac:dyDescent="0.3">
      <c r="A58" s="208">
        <v>4</v>
      </c>
      <c r="B58" s="216" t="s">
        <v>97</v>
      </c>
      <c r="C58" s="217" t="s">
        <v>306</v>
      </c>
      <c r="D58" s="216">
        <v>3</v>
      </c>
    </row>
    <row r="59" spans="1:4" ht="29.25" thickBot="1" x14ac:dyDescent="0.3">
      <c r="A59" s="208">
        <v>5</v>
      </c>
      <c r="B59" s="216" t="s">
        <v>99</v>
      </c>
      <c r="C59" s="217" t="s">
        <v>307</v>
      </c>
      <c r="D59" s="216">
        <v>3</v>
      </c>
    </row>
    <row r="60" spans="1:4" ht="15.75" thickBot="1" x14ac:dyDescent="0.3">
      <c r="A60" s="208">
        <v>6</v>
      </c>
      <c r="B60" s="216" t="s">
        <v>101</v>
      </c>
      <c r="C60" s="217" t="s">
        <v>308</v>
      </c>
      <c r="D60" s="216">
        <v>3</v>
      </c>
    </row>
    <row r="61" spans="1:4" x14ac:dyDescent="0.25">
      <c r="A61" s="404">
        <v>7</v>
      </c>
      <c r="B61" s="404"/>
      <c r="C61" s="220" t="s">
        <v>326</v>
      </c>
      <c r="D61" s="404">
        <v>3</v>
      </c>
    </row>
    <row r="62" spans="1:4" x14ac:dyDescent="0.25">
      <c r="A62" s="406"/>
      <c r="B62" s="406"/>
      <c r="C62" s="221" t="s">
        <v>104</v>
      </c>
      <c r="D62" s="406"/>
    </row>
    <row r="63" spans="1:4" x14ac:dyDescent="0.25">
      <c r="A63" s="406"/>
      <c r="B63" s="406"/>
      <c r="C63" s="222" t="s">
        <v>327</v>
      </c>
      <c r="D63" s="406"/>
    </row>
    <row r="64" spans="1:4" x14ac:dyDescent="0.25">
      <c r="A64" s="406"/>
      <c r="B64" s="406"/>
      <c r="C64" s="222" t="s">
        <v>328</v>
      </c>
      <c r="D64" s="406"/>
    </row>
    <row r="65" spans="1:4" x14ac:dyDescent="0.25">
      <c r="A65" s="406"/>
      <c r="B65" s="406"/>
      <c r="C65" s="222" t="s">
        <v>329</v>
      </c>
      <c r="D65" s="406"/>
    </row>
    <row r="66" spans="1:4" x14ac:dyDescent="0.25">
      <c r="A66" s="406"/>
      <c r="B66" s="406"/>
      <c r="C66" s="222" t="s">
        <v>330</v>
      </c>
      <c r="D66" s="406"/>
    </row>
    <row r="67" spans="1:4" x14ac:dyDescent="0.25">
      <c r="A67" s="406"/>
      <c r="B67" s="406"/>
      <c r="C67" s="222" t="s">
        <v>331</v>
      </c>
      <c r="D67" s="406"/>
    </row>
    <row r="68" spans="1:4" x14ac:dyDescent="0.25">
      <c r="A68" s="406"/>
      <c r="B68" s="406"/>
      <c r="C68" s="222" t="s">
        <v>332</v>
      </c>
      <c r="D68" s="406"/>
    </row>
    <row r="69" spans="1:4" ht="24" x14ac:dyDescent="0.25">
      <c r="A69" s="406"/>
      <c r="B69" s="406"/>
      <c r="C69" s="222" t="s">
        <v>333</v>
      </c>
      <c r="D69" s="406"/>
    </row>
    <row r="70" spans="1:4" ht="15.75" thickBot="1" x14ac:dyDescent="0.3">
      <c r="A70" s="406"/>
      <c r="B70" s="405"/>
      <c r="C70" s="223" t="s">
        <v>334</v>
      </c>
      <c r="D70" s="405"/>
    </row>
    <row r="71" spans="1:4" ht="15.75" thickBot="1" x14ac:dyDescent="0.3">
      <c r="A71" s="406"/>
      <c r="B71" s="216" t="s">
        <v>105</v>
      </c>
      <c r="C71" s="218" t="s">
        <v>106</v>
      </c>
      <c r="D71" s="404"/>
    </row>
    <row r="72" spans="1:4" ht="15.75" thickBot="1" x14ac:dyDescent="0.3">
      <c r="A72" s="406"/>
      <c r="B72" s="216" t="s">
        <v>108</v>
      </c>
      <c r="C72" s="218" t="s">
        <v>335</v>
      </c>
      <c r="D72" s="406"/>
    </row>
    <row r="73" spans="1:4" ht="15.75" thickBot="1" x14ac:dyDescent="0.3">
      <c r="A73" s="406"/>
      <c r="B73" s="216" t="s">
        <v>110</v>
      </c>
      <c r="C73" s="218" t="s">
        <v>168</v>
      </c>
      <c r="D73" s="406"/>
    </row>
    <row r="74" spans="1:4" ht="15.75" thickBot="1" x14ac:dyDescent="0.3">
      <c r="A74" s="406"/>
      <c r="B74" s="209" t="s">
        <v>111</v>
      </c>
      <c r="C74" s="211" t="s">
        <v>112</v>
      </c>
      <c r="D74" s="406"/>
    </row>
    <row r="75" spans="1:4" ht="15.75" thickBot="1" x14ac:dyDescent="0.3">
      <c r="A75" s="406"/>
      <c r="B75" s="216" t="s">
        <v>113</v>
      </c>
      <c r="C75" s="218" t="s">
        <v>114</v>
      </c>
      <c r="D75" s="406"/>
    </row>
    <row r="76" spans="1:4" ht="15.75" thickBot="1" x14ac:dyDescent="0.3">
      <c r="A76" s="406"/>
      <c r="B76" s="216" t="s">
        <v>117</v>
      </c>
      <c r="C76" s="218" t="s">
        <v>118</v>
      </c>
      <c r="D76" s="406"/>
    </row>
    <row r="77" spans="1:4" ht="15.75" thickBot="1" x14ac:dyDescent="0.3">
      <c r="A77" s="405"/>
      <c r="B77" s="216" t="s">
        <v>115</v>
      </c>
      <c r="C77" s="224" t="s">
        <v>116</v>
      </c>
      <c r="D77" s="405"/>
    </row>
    <row r="78" spans="1:4" ht="15.75" thickBot="1" x14ac:dyDescent="0.3">
      <c r="A78" s="212"/>
      <c r="B78" s="213"/>
      <c r="C78" s="214" t="s">
        <v>119</v>
      </c>
      <c r="D78" s="215">
        <v>21</v>
      </c>
    </row>
    <row r="79" spans="1:4" ht="15.75" thickBot="1" x14ac:dyDescent="0.3">
      <c r="A79" s="402" t="s">
        <v>120</v>
      </c>
      <c r="B79" s="403"/>
      <c r="C79" s="403"/>
      <c r="D79" s="403"/>
    </row>
    <row r="80" spans="1:4" ht="15.75" thickBot="1" x14ac:dyDescent="0.3">
      <c r="A80" s="208">
        <v>1</v>
      </c>
      <c r="B80" s="216" t="s">
        <v>121</v>
      </c>
      <c r="C80" s="217" t="s">
        <v>311</v>
      </c>
      <c r="D80" s="216">
        <v>3</v>
      </c>
    </row>
    <row r="81" spans="1:4" ht="15.75" thickBot="1" x14ac:dyDescent="0.3">
      <c r="A81" s="208">
        <v>2</v>
      </c>
      <c r="B81" s="216" t="s">
        <v>123</v>
      </c>
      <c r="C81" s="217" t="s">
        <v>312</v>
      </c>
      <c r="D81" s="216">
        <v>3</v>
      </c>
    </row>
    <row r="82" spans="1:4" ht="15.75" thickBot="1" x14ac:dyDescent="0.3">
      <c r="A82" s="208">
        <v>3</v>
      </c>
      <c r="B82" s="216" t="s">
        <v>125</v>
      </c>
      <c r="C82" s="217" t="s">
        <v>313</v>
      </c>
      <c r="D82" s="216">
        <v>3</v>
      </c>
    </row>
    <row r="83" spans="1:4" ht="15.75" thickBot="1" x14ac:dyDescent="0.3">
      <c r="A83" s="208">
        <v>4</v>
      </c>
      <c r="B83" s="216" t="s">
        <v>336</v>
      </c>
      <c r="C83" s="218" t="s">
        <v>337</v>
      </c>
      <c r="D83" s="216">
        <v>3</v>
      </c>
    </row>
    <row r="84" spans="1:4" ht="15.75" thickBot="1" x14ac:dyDescent="0.3">
      <c r="A84" s="208"/>
      <c r="B84" s="216"/>
      <c r="C84" s="217"/>
      <c r="D84" s="216"/>
    </row>
    <row r="85" spans="1:4" ht="15.75" thickBot="1" x14ac:dyDescent="0.3">
      <c r="A85" s="208"/>
      <c r="B85" s="209"/>
      <c r="C85" s="225" t="s">
        <v>338</v>
      </c>
      <c r="D85" s="209">
        <v>5</v>
      </c>
    </row>
    <row r="86" spans="1:4" ht="15.75" thickBot="1" x14ac:dyDescent="0.3">
      <c r="A86" s="219"/>
      <c r="B86" s="216" t="s">
        <v>131</v>
      </c>
      <c r="C86" s="218" t="s">
        <v>132</v>
      </c>
      <c r="D86" s="216">
        <v>2</v>
      </c>
    </row>
    <row r="87" spans="1:4" ht="15.75" thickBot="1" x14ac:dyDescent="0.3">
      <c r="A87" s="219"/>
      <c r="B87" s="216" t="s">
        <v>133</v>
      </c>
      <c r="C87" s="211" t="s">
        <v>198</v>
      </c>
      <c r="D87" s="209">
        <v>3</v>
      </c>
    </row>
    <row r="88" spans="1:4" ht="15.75" thickBot="1" x14ac:dyDescent="0.3">
      <c r="A88" s="219"/>
      <c r="B88" s="216" t="s">
        <v>135</v>
      </c>
      <c r="C88" s="218" t="s">
        <v>136</v>
      </c>
      <c r="D88" s="216">
        <v>2</v>
      </c>
    </row>
    <row r="89" spans="1:4" ht="15.75" thickBot="1" x14ac:dyDescent="0.3">
      <c r="A89" s="219"/>
      <c r="B89" s="216" t="s">
        <v>137</v>
      </c>
      <c r="C89" s="218" t="s">
        <v>138</v>
      </c>
      <c r="D89" s="216">
        <v>3</v>
      </c>
    </row>
    <row r="90" spans="1:4" ht="15.75" thickBot="1" x14ac:dyDescent="0.3">
      <c r="A90" s="219"/>
      <c r="B90" s="216" t="s">
        <v>139</v>
      </c>
      <c r="C90" s="218" t="s">
        <v>316</v>
      </c>
      <c r="D90" s="216">
        <v>2</v>
      </c>
    </row>
    <row r="91" spans="1:4" ht="15.75" thickBot="1" x14ac:dyDescent="0.3">
      <c r="A91" s="219"/>
      <c r="B91" s="216" t="s">
        <v>141</v>
      </c>
      <c r="C91" s="218" t="s">
        <v>142</v>
      </c>
      <c r="D91" s="216">
        <v>3</v>
      </c>
    </row>
    <row r="92" spans="1:4" ht="15.75" thickBot="1" x14ac:dyDescent="0.3">
      <c r="A92" s="219"/>
      <c r="B92" s="216" t="s">
        <v>143</v>
      </c>
      <c r="C92" s="218" t="s">
        <v>144</v>
      </c>
      <c r="D92" s="216">
        <v>2</v>
      </c>
    </row>
    <row r="93" spans="1:4" ht="15.75" thickBot="1" x14ac:dyDescent="0.3">
      <c r="A93" s="219"/>
      <c r="B93" s="216" t="s">
        <v>145</v>
      </c>
      <c r="C93" s="218" t="s">
        <v>146</v>
      </c>
      <c r="D93" s="216">
        <v>3</v>
      </c>
    </row>
    <row r="94" spans="1:4" ht="15.75" thickBot="1" x14ac:dyDescent="0.3">
      <c r="A94" s="219" t="s">
        <v>130</v>
      </c>
      <c r="B94" s="209" t="s">
        <v>147</v>
      </c>
      <c r="C94" s="211" t="s">
        <v>148</v>
      </c>
      <c r="D94" s="209">
        <v>2</v>
      </c>
    </row>
    <row r="95" spans="1:4" ht="15.75" thickBot="1" x14ac:dyDescent="0.3">
      <c r="A95" s="226"/>
      <c r="B95" s="209" t="s">
        <v>149</v>
      </c>
      <c r="C95" s="211" t="s">
        <v>150</v>
      </c>
      <c r="D95" s="209">
        <v>3</v>
      </c>
    </row>
    <row r="96" spans="1:4" ht="15.75" thickBot="1" x14ac:dyDescent="0.3">
      <c r="A96" s="226"/>
      <c r="B96" s="216" t="s">
        <v>151</v>
      </c>
      <c r="C96" s="218" t="s">
        <v>152</v>
      </c>
      <c r="D96" s="216">
        <v>3</v>
      </c>
    </row>
    <row r="97" spans="1:4" ht="15.75" thickBot="1" x14ac:dyDescent="0.3">
      <c r="A97" s="226"/>
      <c r="B97" s="216" t="s">
        <v>153</v>
      </c>
      <c r="C97" s="218" t="s">
        <v>154</v>
      </c>
      <c r="D97" s="216">
        <v>2</v>
      </c>
    </row>
    <row r="98" spans="1:4" ht="15.75" thickBot="1" x14ac:dyDescent="0.3">
      <c r="A98" s="226"/>
      <c r="B98" s="216" t="s">
        <v>155</v>
      </c>
      <c r="C98" s="218" t="s">
        <v>156</v>
      </c>
      <c r="D98" s="216">
        <v>3</v>
      </c>
    </row>
    <row r="99" spans="1:4" ht="15.75" thickBot="1" x14ac:dyDescent="0.3">
      <c r="A99" s="226"/>
      <c r="B99" s="216" t="s">
        <v>157</v>
      </c>
      <c r="C99" s="218" t="s">
        <v>158</v>
      </c>
      <c r="D99" s="216">
        <v>3</v>
      </c>
    </row>
    <row r="100" spans="1:4" ht="15.75" thickBot="1" x14ac:dyDescent="0.3">
      <c r="A100" s="227"/>
      <c r="B100" s="216" t="s">
        <v>159</v>
      </c>
      <c r="C100" s="218" t="s">
        <v>160</v>
      </c>
      <c r="D100" s="216">
        <v>3</v>
      </c>
    </row>
    <row r="101" spans="1:4" ht="15.75" thickBot="1" x14ac:dyDescent="0.3">
      <c r="A101" s="212"/>
      <c r="B101" s="213"/>
      <c r="C101" s="214"/>
      <c r="D101" s="215">
        <v>17</v>
      </c>
    </row>
    <row r="102" spans="1:4" ht="15.75" thickBot="1" x14ac:dyDescent="0.3">
      <c r="A102" s="402" t="s">
        <v>193</v>
      </c>
      <c r="B102" s="403"/>
      <c r="C102" s="403"/>
      <c r="D102" s="403"/>
    </row>
    <row r="103" spans="1:4" ht="15.75" thickBot="1" x14ac:dyDescent="0.3">
      <c r="A103" s="404">
        <v>1</v>
      </c>
      <c r="B103" s="209"/>
      <c r="C103" s="211" t="s">
        <v>161</v>
      </c>
      <c r="D103" s="209">
        <v>6</v>
      </c>
    </row>
    <row r="104" spans="1:4" ht="15.75" thickBot="1" x14ac:dyDescent="0.3">
      <c r="A104" s="405"/>
      <c r="B104" s="209"/>
      <c r="C104" s="211" t="s">
        <v>162</v>
      </c>
      <c r="D104" s="209">
        <v>6</v>
      </c>
    </row>
  </sheetData>
  <mergeCells count="13">
    <mergeCell ref="A102:D102"/>
    <mergeCell ref="A103:A104"/>
    <mergeCell ref="A44:D44"/>
    <mergeCell ref="A54:D54"/>
    <mergeCell ref="A61:A77"/>
    <mergeCell ref="B61:B70"/>
    <mergeCell ref="D61:D70"/>
    <mergeCell ref="D71:D77"/>
    <mergeCell ref="A4:D4"/>
    <mergeCell ref="A14:D14"/>
    <mergeCell ref="A24:D24"/>
    <mergeCell ref="A34:D34"/>
    <mergeCell ref="A79:D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"/>
  <sheetViews>
    <sheetView topLeftCell="A34" workbookViewId="0">
      <selection activeCell="A61" sqref="A61"/>
    </sheetView>
  </sheetViews>
  <sheetFormatPr defaultRowHeight="12.75" x14ac:dyDescent="0.2"/>
  <cols>
    <col min="1" max="1" width="3.42578125" style="37" customWidth="1"/>
    <col min="2" max="2" width="16.5703125" style="37" customWidth="1"/>
    <col min="3" max="3" width="4.7109375" style="37" customWidth="1"/>
    <col min="4" max="4" width="4.5703125" style="37" customWidth="1"/>
    <col min="5" max="5" width="16.85546875" style="37" customWidth="1"/>
    <col min="6" max="6" width="4.7109375" style="37" customWidth="1"/>
    <col min="7" max="7" width="5.28515625" style="37" customWidth="1"/>
    <col min="8" max="8" width="16.7109375" style="37" customWidth="1"/>
    <col min="9" max="9" width="4.7109375" style="37" customWidth="1"/>
    <col min="10" max="10" width="5.42578125" style="37" customWidth="1"/>
    <col min="11" max="11" width="16.7109375" style="37" customWidth="1"/>
    <col min="12" max="13" width="4.7109375" style="37" customWidth="1"/>
    <col min="14" max="14" width="16.7109375" style="37" customWidth="1"/>
    <col min="15" max="15" width="4.7109375" style="37" customWidth="1"/>
    <col min="16" max="16" width="2.85546875" style="37" customWidth="1"/>
    <col min="17" max="17" width="4.28515625" style="37" customWidth="1"/>
    <col min="18" max="18" width="17.140625" style="130" customWidth="1"/>
    <col min="19" max="19" width="4.7109375" style="37" customWidth="1"/>
    <col min="20" max="20" width="3" style="37" customWidth="1"/>
    <col min="21" max="21" width="2.42578125" style="37" customWidth="1"/>
    <col min="22" max="22" width="2.28515625" style="37" customWidth="1"/>
    <col min="23" max="23" width="20.7109375" style="130" customWidth="1"/>
    <col min="24" max="24" width="4.7109375" style="133" customWidth="1"/>
    <col min="25" max="25" width="2.85546875" style="37" customWidth="1"/>
    <col min="26" max="26" width="33.28515625" style="37" customWidth="1"/>
    <col min="27" max="27" width="4.7109375" style="37" customWidth="1"/>
    <col min="28" max="256" width="9.140625" style="37"/>
    <col min="257" max="257" width="3.42578125" style="37" customWidth="1"/>
    <col min="258" max="258" width="16.5703125" style="37" customWidth="1"/>
    <col min="259" max="259" width="4.7109375" style="37" customWidth="1"/>
    <col min="260" max="260" width="4.5703125" style="37" customWidth="1"/>
    <col min="261" max="261" width="16.85546875" style="37" customWidth="1"/>
    <col min="262" max="262" width="4.7109375" style="37" customWidth="1"/>
    <col min="263" max="263" width="5.28515625" style="37" customWidth="1"/>
    <col min="264" max="264" width="16.7109375" style="37" customWidth="1"/>
    <col min="265" max="265" width="4.7109375" style="37" customWidth="1"/>
    <col min="266" max="266" width="5.42578125" style="37" customWidth="1"/>
    <col min="267" max="267" width="16.7109375" style="37" customWidth="1"/>
    <col min="268" max="269" width="4.7109375" style="37" customWidth="1"/>
    <col min="270" max="270" width="16.7109375" style="37" customWidth="1"/>
    <col min="271" max="271" width="4.7109375" style="37" customWidth="1"/>
    <col min="272" max="272" width="2.85546875" style="37" customWidth="1"/>
    <col min="273" max="273" width="4.28515625" style="37" customWidth="1"/>
    <col min="274" max="274" width="17.140625" style="37" customWidth="1"/>
    <col min="275" max="275" width="4.7109375" style="37" customWidth="1"/>
    <col min="276" max="276" width="3" style="37" customWidth="1"/>
    <col min="277" max="277" width="2.42578125" style="37" customWidth="1"/>
    <col min="278" max="278" width="2.28515625" style="37" customWidth="1"/>
    <col min="279" max="279" width="20.7109375" style="37" customWidth="1"/>
    <col min="280" max="280" width="4.7109375" style="37" customWidth="1"/>
    <col min="281" max="281" width="2.85546875" style="37" customWidth="1"/>
    <col min="282" max="282" width="33.28515625" style="37" customWidth="1"/>
    <col min="283" max="283" width="4.7109375" style="37" customWidth="1"/>
    <col min="284" max="512" width="9.140625" style="37"/>
    <col min="513" max="513" width="3.42578125" style="37" customWidth="1"/>
    <col min="514" max="514" width="16.5703125" style="37" customWidth="1"/>
    <col min="515" max="515" width="4.7109375" style="37" customWidth="1"/>
    <col min="516" max="516" width="4.5703125" style="37" customWidth="1"/>
    <col min="517" max="517" width="16.85546875" style="37" customWidth="1"/>
    <col min="518" max="518" width="4.7109375" style="37" customWidth="1"/>
    <col min="519" max="519" width="5.28515625" style="37" customWidth="1"/>
    <col min="520" max="520" width="16.7109375" style="37" customWidth="1"/>
    <col min="521" max="521" width="4.7109375" style="37" customWidth="1"/>
    <col min="522" max="522" width="5.42578125" style="37" customWidth="1"/>
    <col min="523" max="523" width="16.7109375" style="37" customWidth="1"/>
    <col min="524" max="525" width="4.7109375" style="37" customWidth="1"/>
    <col min="526" max="526" width="16.7109375" style="37" customWidth="1"/>
    <col min="527" max="527" width="4.7109375" style="37" customWidth="1"/>
    <col min="528" max="528" width="2.85546875" style="37" customWidth="1"/>
    <col min="529" max="529" width="4.28515625" style="37" customWidth="1"/>
    <col min="530" max="530" width="17.140625" style="37" customWidth="1"/>
    <col min="531" max="531" width="4.7109375" style="37" customWidth="1"/>
    <col min="532" max="532" width="3" style="37" customWidth="1"/>
    <col min="533" max="533" width="2.42578125" style="37" customWidth="1"/>
    <col min="534" max="534" width="2.28515625" style="37" customWidth="1"/>
    <col min="535" max="535" width="20.7109375" style="37" customWidth="1"/>
    <col min="536" max="536" width="4.7109375" style="37" customWidth="1"/>
    <col min="537" max="537" width="2.85546875" style="37" customWidth="1"/>
    <col min="538" max="538" width="33.28515625" style="37" customWidth="1"/>
    <col min="539" max="539" width="4.7109375" style="37" customWidth="1"/>
    <col min="540" max="768" width="9.140625" style="37"/>
    <col min="769" max="769" width="3.42578125" style="37" customWidth="1"/>
    <col min="770" max="770" width="16.5703125" style="37" customWidth="1"/>
    <col min="771" max="771" width="4.7109375" style="37" customWidth="1"/>
    <col min="772" max="772" width="4.5703125" style="37" customWidth="1"/>
    <col min="773" max="773" width="16.85546875" style="37" customWidth="1"/>
    <col min="774" max="774" width="4.7109375" style="37" customWidth="1"/>
    <col min="775" max="775" width="5.28515625" style="37" customWidth="1"/>
    <col min="776" max="776" width="16.7109375" style="37" customWidth="1"/>
    <col min="777" max="777" width="4.7109375" style="37" customWidth="1"/>
    <col min="778" max="778" width="5.42578125" style="37" customWidth="1"/>
    <col min="779" max="779" width="16.7109375" style="37" customWidth="1"/>
    <col min="780" max="781" width="4.7109375" style="37" customWidth="1"/>
    <col min="782" max="782" width="16.7109375" style="37" customWidth="1"/>
    <col min="783" max="783" width="4.7109375" style="37" customWidth="1"/>
    <col min="784" max="784" width="2.85546875" style="37" customWidth="1"/>
    <col min="785" max="785" width="4.28515625" style="37" customWidth="1"/>
    <col min="786" max="786" width="17.140625" style="37" customWidth="1"/>
    <col min="787" max="787" width="4.7109375" style="37" customWidth="1"/>
    <col min="788" max="788" width="3" style="37" customWidth="1"/>
    <col min="789" max="789" width="2.42578125" style="37" customWidth="1"/>
    <col min="790" max="790" width="2.28515625" style="37" customWidth="1"/>
    <col min="791" max="791" width="20.7109375" style="37" customWidth="1"/>
    <col min="792" max="792" width="4.7109375" style="37" customWidth="1"/>
    <col min="793" max="793" width="2.85546875" style="37" customWidth="1"/>
    <col min="794" max="794" width="33.28515625" style="37" customWidth="1"/>
    <col min="795" max="795" width="4.7109375" style="37" customWidth="1"/>
    <col min="796" max="1024" width="9.140625" style="37"/>
    <col min="1025" max="1025" width="3.42578125" style="37" customWidth="1"/>
    <col min="1026" max="1026" width="16.5703125" style="37" customWidth="1"/>
    <col min="1027" max="1027" width="4.7109375" style="37" customWidth="1"/>
    <col min="1028" max="1028" width="4.5703125" style="37" customWidth="1"/>
    <col min="1029" max="1029" width="16.85546875" style="37" customWidth="1"/>
    <col min="1030" max="1030" width="4.7109375" style="37" customWidth="1"/>
    <col min="1031" max="1031" width="5.28515625" style="37" customWidth="1"/>
    <col min="1032" max="1032" width="16.7109375" style="37" customWidth="1"/>
    <col min="1033" max="1033" width="4.7109375" style="37" customWidth="1"/>
    <col min="1034" max="1034" width="5.42578125" style="37" customWidth="1"/>
    <col min="1035" max="1035" width="16.7109375" style="37" customWidth="1"/>
    <col min="1036" max="1037" width="4.7109375" style="37" customWidth="1"/>
    <col min="1038" max="1038" width="16.7109375" style="37" customWidth="1"/>
    <col min="1039" max="1039" width="4.7109375" style="37" customWidth="1"/>
    <col min="1040" max="1040" width="2.85546875" style="37" customWidth="1"/>
    <col min="1041" max="1041" width="4.28515625" style="37" customWidth="1"/>
    <col min="1042" max="1042" width="17.140625" style="37" customWidth="1"/>
    <col min="1043" max="1043" width="4.7109375" style="37" customWidth="1"/>
    <col min="1044" max="1044" width="3" style="37" customWidth="1"/>
    <col min="1045" max="1045" width="2.42578125" style="37" customWidth="1"/>
    <col min="1046" max="1046" width="2.28515625" style="37" customWidth="1"/>
    <col min="1047" max="1047" width="20.7109375" style="37" customWidth="1"/>
    <col min="1048" max="1048" width="4.7109375" style="37" customWidth="1"/>
    <col min="1049" max="1049" width="2.85546875" style="37" customWidth="1"/>
    <col min="1050" max="1050" width="33.28515625" style="37" customWidth="1"/>
    <col min="1051" max="1051" width="4.7109375" style="37" customWidth="1"/>
    <col min="1052" max="1280" width="9.140625" style="37"/>
    <col min="1281" max="1281" width="3.42578125" style="37" customWidth="1"/>
    <col min="1282" max="1282" width="16.5703125" style="37" customWidth="1"/>
    <col min="1283" max="1283" width="4.7109375" style="37" customWidth="1"/>
    <col min="1284" max="1284" width="4.5703125" style="37" customWidth="1"/>
    <col min="1285" max="1285" width="16.85546875" style="37" customWidth="1"/>
    <col min="1286" max="1286" width="4.7109375" style="37" customWidth="1"/>
    <col min="1287" max="1287" width="5.28515625" style="37" customWidth="1"/>
    <col min="1288" max="1288" width="16.7109375" style="37" customWidth="1"/>
    <col min="1289" max="1289" width="4.7109375" style="37" customWidth="1"/>
    <col min="1290" max="1290" width="5.42578125" style="37" customWidth="1"/>
    <col min="1291" max="1291" width="16.7109375" style="37" customWidth="1"/>
    <col min="1292" max="1293" width="4.7109375" style="37" customWidth="1"/>
    <col min="1294" max="1294" width="16.7109375" style="37" customWidth="1"/>
    <col min="1295" max="1295" width="4.7109375" style="37" customWidth="1"/>
    <col min="1296" max="1296" width="2.85546875" style="37" customWidth="1"/>
    <col min="1297" max="1297" width="4.28515625" style="37" customWidth="1"/>
    <col min="1298" max="1298" width="17.140625" style="37" customWidth="1"/>
    <col min="1299" max="1299" width="4.7109375" style="37" customWidth="1"/>
    <col min="1300" max="1300" width="3" style="37" customWidth="1"/>
    <col min="1301" max="1301" width="2.42578125" style="37" customWidth="1"/>
    <col min="1302" max="1302" width="2.28515625" style="37" customWidth="1"/>
    <col min="1303" max="1303" width="20.7109375" style="37" customWidth="1"/>
    <col min="1304" max="1304" width="4.7109375" style="37" customWidth="1"/>
    <col min="1305" max="1305" width="2.85546875" style="37" customWidth="1"/>
    <col min="1306" max="1306" width="33.28515625" style="37" customWidth="1"/>
    <col min="1307" max="1307" width="4.7109375" style="37" customWidth="1"/>
    <col min="1308" max="1536" width="9.140625" style="37"/>
    <col min="1537" max="1537" width="3.42578125" style="37" customWidth="1"/>
    <col min="1538" max="1538" width="16.5703125" style="37" customWidth="1"/>
    <col min="1539" max="1539" width="4.7109375" style="37" customWidth="1"/>
    <col min="1540" max="1540" width="4.5703125" style="37" customWidth="1"/>
    <col min="1541" max="1541" width="16.85546875" style="37" customWidth="1"/>
    <col min="1542" max="1542" width="4.7109375" style="37" customWidth="1"/>
    <col min="1543" max="1543" width="5.28515625" style="37" customWidth="1"/>
    <col min="1544" max="1544" width="16.7109375" style="37" customWidth="1"/>
    <col min="1545" max="1545" width="4.7109375" style="37" customWidth="1"/>
    <col min="1546" max="1546" width="5.42578125" style="37" customWidth="1"/>
    <col min="1547" max="1547" width="16.7109375" style="37" customWidth="1"/>
    <col min="1548" max="1549" width="4.7109375" style="37" customWidth="1"/>
    <col min="1550" max="1550" width="16.7109375" style="37" customWidth="1"/>
    <col min="1551" max="1551" width="4.7109375" style="37" customWidth="1"/>
    <col min="1552" max="1552" width="2.85546875" style="37" customWidth="1"/>
    <col min="1553" max="1553" width="4.28515625" style="37" customWidth="1"/>
    <col min="1554" max="1554" width="17.140625" style="37" customWidth="1"/>
    <col min="1555" max="1555" width="4.7109375" style="37" customWidth="1"/>
    <col min="1556" max="1556" width="3" style="37" customWidth="1"/>
    <col min="1557" max="1557" width="2.42578125" style="37" customWidth="1"/>
    <col min="1558" max="1558" width="2.28515625" style="37" customWidth="1"/>
    <col min="1559" max="1559" width="20.7109375" style="37" customWidth="1"/>
    <col min="1560" max="1560" width="4.7109375" style="37" customWidth="1"/>
    <col min="1561" max="1561" width="2.85546875" style="37" customWidth="1"/>
    <col min="1562" max="1562" width="33.28515625" style="37" customWidth="1"/>
    <col min="1563" max="1563" width="4.7109375" style="37" customWidth="1"/>
    <col min="1564" max="1792" width="9.140625" style="37"/>
    <col min="1793" max="1793" width="3.42578125" style="37" customWidth="1"/>
    <col min="1794" max="1794" width="16.5703125" style="37" customWidth="1"/>
    <col min="1795" max="1795" width="4.7109375" style="37" customWidth="1"/>
    <col min="1796" max="1796" width="4.5703125" style="37" customWidth="1"/>
    <col min="1797" max="1797" width="16.85546875" style="37" customWidth="1"/>
    <col min="1798" max="1798" width="4.7109375" style="37" customWidth="1"/>
    <col min="1799" max="1799" width="5.28515625" style="37" customWidth="1"/>
    <col min="1800" max="1800" width="16.7109375" style="37" customWidth="1"/>
    <col min="1801" max="1801" width="4.7109375" style="37" customWidth="1"/>
    <col min="1802" max="1802" width="5.42578125" style="37" customWidth="1"/>
    <col min="1803" max="1803" width="16.7109375" style="37" customWidth="1"/>
    <col min="1804" max="1805" width="4.7109375" style="37" customWidth="1"/>
    <col min="1806" max="1806" width="16.7109375" style="37" customWidth="1"/>
    <col min="1807" max="1807" width="4.7109375" style="37" customWidth="1"/>
    <col min="1808" max="1808" width="2.85546875" style="37" customWidth="1"/>
    <col min="1809" max="1809" width="4.28515625" style="37" customWidth="1"/>
    <col min="1810" max="1810" width="17.140625" style="37" customWidth="1"/>
    <col min="1811" max="1811" width="4.7109375" style="37" customWidth="1"/>
    <col min="1812" max="1812" width="3" style="37" customWidth="1"/>
    <col min="1813" max="1813" width="2.42578125" style="37" customWidth="1"/>
    <col min="1814" max="1814" width="2.28515625" style="37" customWidth="1"/>
    <col min="1815" max="1815" width="20.7109375" style="37" customWidth="1"/>
    <col min="1816" max="1816" width="4.7109375" style="37" customWidth="1"/>
    <col min="1817" max="1817" width="2.85546875" style="37" customWidth="1"/>
    <col min="1818" max="1818" width="33.28515625" style="37" customWidth="1"/>
    <col min="1819" max="1819" width="4.7109375" style="37" customWidth="1"/>
    <col min="1820" max="2048" width="9.140625" style="37"/>
    <col min="2049" max="2049" width="3.42578125" style="37" customWidth="1"/>
    <col min="2050" max="2050" width="16.5703125" style="37" customWidth="1"/>
    <col min="2051" max="2051" width="4.7109375" style="37" customWidth="1"/>
    <col min="2052" max="2052" width="4.5703125" style="37" customWidth="1"/>
    <col min="2053" max="2053" width="16.85546875" style="37" customWidth="1"/>
    <col min="2054" max="2054" width="4.7109375" style="37" customWidth="1"/>
    <col min="2055" max="2055" width="5.28515625" style="37" customWidth="1"/>
    <col min="2056" max="2056" width="16.7109375" style="37" customWidth="1"/>
    <col min="2057" max="2057" width="4.7109375" style="37" customWidth="1"/>
    <col min="2058" max="2058" width="5.42578125" style="37" customWidth="1"/>
    <col min="2059" max="2059" width="16.7109375" style="37" customWidth="1"/>
    <col min="2060" max="2061" width="4.7109375" style="37" customWidth="1"/>
    <col min="2062" max="2062" width="16.7109375" style="37" customWidth="1"/>
    <col min="2063" max="2063" width="4.7109375" style="37" customWidth="1"/>
    <col min="2064" max="2064" width="2.85546875" style="37" customWidth="1"/>
    <col min="2065" max="2065" width="4.28515625" style="37" customWidth="1"/>
    <col min="2066" max="2066" width="17.140625" style="37" customWidth="1"/>
    <col min="2067" max="2067" width="4.7109375" style="37" customWidth="1"/>
    <col min="2068" max="2068" width="3" style="37" customWidth="1"/>
    <col min="2069" max="2069" width="2.42578125" style="37" customWidth="1"/>
    <col min="2070" max="2070" width="2.28515625" style="37" customWidth="1"/>
    <col min="2071" max="2071" width="20.7109375" style="37" customWidth="1"/>
    <col min="2072" max="2072" width="4.7109375" style="37" customWidth="1"/>
    <col min="2073" max="2073" width="2.85546875" style="37" customWidth="1"/>
    <col min="2074" max="2074" width="33.28515625" style="37" customWidth="1"/>
    <col min="2075" max="2075" width="4.7109375" style="37" customWidth="1"/>
    <col min="2076" max="2304" width="9.140625" style="37"/>
    <col min="2305" max="2305" width="3.42578125" style="37" customWidth="1"/>
    <col min="2306" max="2306" width="16.5703125" style="37" customWidth="1"/>
    <col min="2307" max="2307" width="4.7109375" style="37" customWidth="1"/>
    <col min="2308" max="2308" width="4.5703125" style="37" customWidth="1"/>
    <col min="2309" max="2309" width="16.85546875" style="37" customWidth="1"/>
    <col min="2310" max="2310" width="4.7109375" style="37" customWidth="1"/>
    <col min="2311" max="2311" width="5.28515625" style="37" customWidth="1"/>
    <col min="2312" max="2312" width="16.7109375" style="37" customWidth="1"/>
    <col min="2313" max="2313" width="4.7109375" style="37" customWidth="1"/>
    <col min="2314" max="2314" width="5.42578125" style="37" customWidth="1"/>
    <col min="2315" max="2315" width="16.7109375" style="37" customWidth="1"/>
    <col min="2316" max="2317" width="4.7109375" style="37" customWidth="1"/>
    <col min="2318" max="2318" width="16.7109375" style="37" customWidth="1"/>
    <col min="2319" max="2319" width="4.7109375" style="37" customWidth="1"/>
    <col min="2320" max="2320" width="2.85546875" style="37" customWidth="1"/>
    <col min="2321" max="2321" width="4.28515625" style="37" customWidth="1"/>
    <col min="2322" max="2322" width="17.140625" style="37" customWidth="1"/>
    <col min="2323" max="2323" width="4.7109375" style="37" customWidth="1"/>
    <col min="2324" max="2324" width="3" style="37" customWidth="1"/>
    <col min="2325" max="2325" width="2.42578125" style="37" customWidth="1"/>
    <col min="2326" max="2326" width="2.28515625" style="37" customWidth="1"/>
    <col min="2327" max="2327" width="20.7109375" style="37" customWidth="1"/>
    <col min="2328" max="2328" width="4.7109375" style="37" customWidth="1"/>
    <col min="2329" max="2329" width="2.85546875" style="37" customWidth="1"/>
    <col min="2330" max="2330" width="33.28515625" style="37" customWidth="1"/>
    <col min="2331" max="2331" width="4.7109375" style="37" customWidth="1"/>
    <col min="2332" max="2560" width="9.140625" style="37"/>
    <col min="2561" max="2561" width="3.42578125" style="37" customWidth="1"/>
    <col min="2562" max="2562" width="16.5703125" style="37" customWidth="1"/>
    <col min="2563" max="2563" width="4.7109375" style="37" customWidth="1"/>
    <col min="2564" max="2564" width="4.5703125" style="37" customWidth="1"/>
    <col min="2565" max="2565" width="16.85546875" style="37" customWidth="1"/>
    <col min="2566" max="2566" width="4.7109375" style="37" customWidth="1"/>
    <col min="2567" max="2567" width="5.28515625" style="37" customWidth="1"/>
    <col min="2568" max="2568" width="16.7109375" style="37" customWidth="1"/>
    <col min="2569" max="2569" width="4.7109375" style="37" customWidth="1"/>
    <col min="2570" max="2570" width="5.42578125" style="37" customWidth="1"/>
    <col min="2571" max="2571" width="16.7109375" style="37" customWidth="1"/>
    <col min="2572" max="2573" width="4.7109375" style="37" customWidth="1"/>
    <col min="2574" max="2574" width="16.7109375" style="37" customWidth="1"/>
    <col min="2575" max="2575" width="4.7109375" style="37" customWidth="1"/>
    <col min="2576" max="2576" width="2.85546875" style="37" customWidth="1"/>
    <col min="2577" max="2577" width="4.28515625" style="37" customWidth="1"/>
    <col min="2578" max="2578" width="17.140625" style="37" customWidth="1"/>
    <col min="2579" max="2579" width="4.7109375" style="37" customWidth="1"/>
    <col min="2580" max="2580" width="3" style="37" customWidth="1"/>
    <col min="2581" max="2581" width="2.42578125" style="37" customWidth="1"/>
    <col min="2582" max="2582" width="2.28515625" style="37" customWidth="1"/>
    <col min="2583" max="2583" width="20.7109375" style="37" customWidth="1"/>
    <col min="2584" max="2584" width="4.7109375" style="37" customWidth="1"/>
    <col min="2585" max="2585" width="2.85546875" style="37" customWidth="1"/>
    <col min="2586" max="2586" width="33.28515625" style="37" customWidth="1"/>
    <col min="2587" max="2587" width="4.7109375" style="37" customWidth="1"/>
    <col min="2588" max="2816" width="9.140625" style="37"/>
    <col min="2817" max="2817" width="3.42578125" style="37" customWidth="1"/>
    <col min="2818" max="2818" width="16.5703125" style="37" customWidth="1"/>
    <col min="2819" max="2819" width="4.7109375" style="37" customWidth="1"/>
    <col min="2820" max="2820" width="4.5703125" style="37" customWidth="1"/>
    <col min="2821" max="2821" width="16.85546875" style="37" customWidth="1"/>
    <col min="2822" max="2822" width="4.7109375" style="37" customWidth="1"/>
    <col min="2823" max="2823" width="5.28515625" style="37" customWidth="1"/>
    <col min="2824" max="2824" width="16.7109375" style="37" customWidth="1"/>
    <col min="2825" max="2825" width="4.7109375" style="37" customWidth="1"/>
    <col min="2826" max="2826" width="5.42578125" style="37" customWidth="1"/>
    <col min="2827" max="2827" width="16.7109375" style="37" customWidth="1"/>
    <col min="2828" max="2829" width="4.7109375" style="37" customWidth="1"/>
    <col min="2830" max="2830" width="16.7109375" style="37" customWidth="1"/>
    <col min="2831" max="2831" width="4.7109375" style="37" customWidth="1"/>
    <col min="2832" max="2832" width="2.85546875" style="37" customWidth="1"/>
    <col min="2833" max="2833" width="4.28515625" style="37" customWidth="1"/>
    <col min="2834" max="2834" width="17.140625" style="37" customWidth="1"/>
    <col min="2835" max="2835" width="4.7109375" style="37" customWidth="1"/>
    <col min="2836" max="2836" width="3" style="37" customWidth="1"/>
    <col min="2837" max="2837" width="2.42578125" style="37" customWidth="1"/>
    <col min="2838" max="2838" width="2.28515625" style="37" customWidth="1"/>
    <col min="2839" max="2839" width="20.7109375" style="37" customWidth="1"/>
    <col min="2840" max="2840" width="4.7109375" style="37" customWidth="1"/>
    <col min="2841" max="2841" width="2.85546875" style="37" customWidth="1"/>
    <col min="2842" max="2842" width="33.28515625" style="37" customWidth="1"/>
    <col min="2843" max="2843" width="4.7109375" style="37" customWidth="1"/>
    <col min="2844" max="3072" width="9.140625" style="37"/>
    <col min="3073" max="3073" width="3.42578125" style="37" customWidth="1"/>
    <col min="3074" max="3074" width="16.5703125" style="37" customWidth="1"/>
    <col min="3075" max="3075" width="4.7109375" style="37" customWidth="1"/>
    <col min="3076" max="3076" width="4.5703125" style="37" customWidth="1"/>
    <col min="3077" max="3077" width="16.85546875" style="37" customWidth="1"/>
    <col min="3078" max="3078" width="4.7109375" style="37" customWidth="1"/>
    <col min="3079" max="3079" width="5.28515625" style="37" customWidth="1"/>
    <col min="3080" max="3080" width="16.7109375" style="37" customWidth="1"/>
    <col min="3081" max="3081" width="4.7109375" style="37" customWidth="1"/>
    <col min="3082" max="3082" width="5.42578125" style="37" customWidth="1"/>
    <col min="3083" max="3083" width="16.7109375" style="37" customWidth="1"/>
    <col min="3084" max="3085" width="4.7109375" style="37" customWidth="1"/>
    <col min="3086" max="3086" width="16.7109375" style="37" customWidth="1"/>
    <col min="3087" max="3087" width="4.7109375" style="37" customWidth="1"/>
    <col min="3088" max="3088" width="2.85546875" style="37" customWidth="1"/>
    <col min="3089" max="3089" width="4.28515625" style="37" customWidth="1"/>
    <col min="3090" max="3090" width="17.140625" style="37" customWidth="1"/>
    <col min="3091" max="3091" width="4.7109375" style="37" customWidth="1"/>
    <col min="3092" max="3092" width="3" style="37" customWidth="1"/>
    <col min="3093" max="3093" width="2.42578125" style="37" customWidth="1"/>
    <col min="3094" max="3094" width="2.28515625" style="37" customWidth="1"/>
    <col min="3095" max="3095" width="20.7109375" style="37" customWidth="1"/>
    <col min="3096" max="3096" width="4.7109375" style="37" customWidth="1"/>
    <col min="3097" max="3097" width="2.85546875" style="37" customWidth="1"/>
    <col min="3098" max="3098" width="33.28515625" style="37" customWidth="1"/>
    <col min="3099" max="3099" width="4.7109375" style="37" customWidth="1"/>
    <col min="3100" max="3328" width="9.140625" style="37"/>
    <col min="3329" max="3329" width="3.42578125" style="37" customWidth="1"/>
    <col min="3330" max="3330" width="16.5703125" style="37" customWidth="1"/>
    <col min="3331" max="3331" width="4.7109375" style="37" customWidth="1"/>
    <col min="3332" max="3332" width="4.5703125" style="37" customWidth="1"/>
    <col min="3333" max="3333" width="16.85546875" style="37" customWidth="1"/>
    <col min="3334" max="3334" width="4.7109375" style="37" customWidth="1"/>
    <col min="3335" max="3335" width="5.28515625" style="37" customWidth="1"/>
    <col min="3336" max="3336" width="16.7109375" style="37" customWidth="1"/>
    <col min="3337" max="3337" width="4.7109375" style="37" customWidth="1"/>
    <col min="3338" max="3338" width="5.42578125" style="37" customWidth="1"/>
    <col min="3339" max="3339" width="16.7109375" style="37" customWidth="1"/>
    <col min="3340" max="3341" width="4.7109375" style="37" customWidth="1"/>
    <col min="3342" max="3342" width="16.7109375" style="37" customWidth="1"/>
    <col min="3343" max="3343" width="4.7109375" style="37" customWidth="1"/>
    <col min="3344" max="3344" width="2.85546875" style="37" customWidth="1"/>
    <col min="3345" max="3345" width="4.28515625" style="37" customWidth="1"/>
    <col min="3346" max="3346" width="17.140625" style="37" customWidth="1"/>
    <col min="3347" max="3347" width="4.7109375" style="37" customWidth="1"/>
    <col min="3348" max="3348" width="3" style="37" customWidth="1"/>
    <col min="3349" max="3349" width="2.42578125" style="37" customWidth="1"/>
    <col min="3350" max="3350" width="2.28515625" style="37" customWidth="1"/>
    <col min="3351" max="3351" width="20.7109375" style="37" customWidth="1"/>
    <col min="3352" max="3352" width="4.7109375" style="37" customWidth="1"/>
    <col min="3353" max="3353" width="2.85546875" style="37" customWidth="1"/>
    <col min="3354" max="3354" width="33.28515625" style="37" customWidth="1"/>
    <col min="3355" max="3355" width="4.7109375" style="37" customWidth="1"/>
    <col min="3356" max="3584" width="9.140625" style="37"/>
    <col min="3585" max="3585" width="3.42578125" style="37" customWidth="1"/>
    <col min="3586" max="3586" width="16.5703125" style="37" customWidth="1"/>
    <col min="3587" max="3587" width="4.7109375" style="37" customWidth="1"/>
    <col min="3588" max="3588" width="4.5703125" style="37" customWidth="1"/>
    <col min="3589" max="3589" width="16.85546875" style="37" customWidth="1"/>
    <col min="3590" max="3590" width="4.7109375" style="37" customWidth="1"/>
    <col min="3591" max="3591" width="5.28515625" style="37" customWidth="1"/>
    <col min="3592" max="3592" width="16.7109375" style="37" customWidth="1"/>
    <col min="3593" max="3593" width="4.7109375" style="37" customWidth="1"/>
    <col min="3594" max="3594" width="5.42578125" style="37" customWidth="1"/>
    <col min="3595" max="3595" width="16.7109375" style="37" customWidth="1"/>
    <col min="3596" max="3597" width="4.7109375" style="37" customWidth="1"/>
    <col min="3598" max="3598" width="16.7109375" style="37" customWidth="1"/>
    <col min="3599" max="3599" width="4.7109375" style="37" customWidth="1"/>
    <col min="3600" max="3600" width="2.85546875" style="37" customWidth="1"/>
    <col min="3601" max="3601" width="4.28515625" style="37" customWidth="1"/>
    <col min="3602" max="3602" width="17.140625" style="37" customWidth="1"/>
    <col min="3603" max="3603" width="4.7109375" style="37" customWidth="1"/>
    <col min="3604" max="3604" width="3" style="37" customWidth="1"/>
    <col min="3605" max="3605" width="2.42578125" style="37" customWidth="1"/>
    <col min="3606" max="3606" width="2.28515625" style="37" customWidth="1"/>
    <col min="3607" max="3607" width="20.7109375" style="37" customWidth="1"/>
    <col min="3608" max="3608" width="4.7109375" style="37" customWidth="1"/>
    <col min="3609" max="3609" width="2.85546875" style="37" customWidth="1"/>
    <col min="3610" max="3610" width="33.28515625" style="37" customWidth="1"/>
    <col min="3611" max="3611" width="4.7109375" style="37" customWidth="1"/>
    <col min="3612" max="3840" width="9.140625" style="37"/>
    <col min="3841" max="3841" width="3.42578125" style="37" customWidth="1"/>
    <col min="3842" max="3842" width="16.5703125" style="37" customWidth="1"/>
    <col min="3843" max="3843" width="4.7109375" style="37" customWidth="1"/>
    <col min="3844" max="3844" width="4.5703125" style="37" customWidth="1"/>
    <col min="3845" max="3845" width="16.85546875" style="37" customWidth="1"/>
    <col min="3846" max="3846" width="4.7109375" style="37" customWidth="1"/>
    <col min="3847" max="3847" width="5.28515625" style="37" customWidth="1"/>
    <col min="3848" max="3848" width="16.7109375" style="37" customWidth="1"/>
    <col min="3849" max="3849" width="4.7109375" style="37" customWidth="1"/>
    <col min="3850" max="3850" width="5.42578125" style="37" customWidth="1"/>
    <col min="3851" max="3851" width="16.7109375" style="37" customWidth="1"/>
    <col min="3852" max="3853" width="4.7109375" style="37" customWidth="1"/>
    <col min="3854" max="3854" width="16.7109375" style="37" customWidth="1"/>
    <col min="3855" max="3855" width="4.7109375" style="37" customWidth="1"/>
    <col min="3856" max="3856" width="2.85546875" style="37" customWidth="1"/>
    <col min="3857" max="3857" width="4.28515625" style="37" customWidth="1"/>
    <col min="3858" max="3858" width="17.140625" style="37" customWidth="1"/>
    <col min="3859" max="3859" width="4.7109375" style="37" customWidth="1"/>
    <col min="3860" max="3860" width="3" style="37" customWidth="1"/>
    <col min="3861" max="3861" width="2.42578125" style="37" customWidth="1"/>
    <col min="3862" max="3862" width="2.28515625" style="37" customWidth="1"/>
    <col min="3863" max="3863" width="20.7109375" style="37" customWidth="1"/>
    <col min="3864" max="3864" width="4.7109375" style="37" customWidth="1"/>
    <col min="3865" max="3865" width="2.85546875" style="37" customWidth="1"/>
    <col min="3866" max="3866" width="33.28515625" style="37" customWidth="1"/>
    <col min="3867" max="3867" width="4.7109375" style="37" customWidth="1"/>
    <col min="3868" max="4096" width="9.140625" style="37"/>
    <col min="4097" max="4097" width="3.42578125" style="37" customWidth="1"/>
    <col min="4098" max="4098" width="16.5703125" style="37" customWidth="1"/>
    <col min="4099" max="4099" width="4.7109375" style="37" customWidth="1"/>
    <col min="4100" max="4100" width="4.5703125" style="37" customWidth="1"/>
    <col min="4101" max="4101" width="16.85546875" style="37" customWidth="1"/>
    <col min="4102" max="4102" width="4.7109375" style="37" customWidth="1"/>
    <col min="4103" max="4103" width="5.28515625" style="37" customWidth="1"/>
    <col min="4104" max="4104" width="16.7109375" style="37" customWidth="1"/>
    <col min="4105" max="4105" width="4.7109375" style="37" customWidth="1"/>
    <col min="4106" max="4106" width="5.42578125" style="37" customWidth="1"/>
    <col min="4107" max="4107" width="16.7109375" style="37" customWidth="1"/>
    <col min="4108" max="4109" width="4.7109375" style="37" customWidth="1"/>
    <col min="4110" max="4110" width="16.7109375" style="37" customWidth="1"/>
    <col min="4111" max="4111" width="4.7109375" style="37" customWidth="1"/>
    <col min="4112" max="4112" width="2.85546875" style="37" customWidth="1"/>
    <col min="4113" max="4113" width="4.28515625" style="37" customWidth="1"/>
    <col min="4114" max="4114" width="17.140625" style="37" customWidth="1"/>
    <col min="4115" max="4115" width="4.7109375" style="37" customWidth="1"/>
    <col min="4116" max="4116" width="3" style="37" customWidth="1"/>
    <col min="4117" max="4117" width="2.42578125" style="37" customWidth="1"/>
    <col min="4118" max="4118" width="2.28515625" style="37" customWidth="1"/>
    <col min="4119" max="4119" width="20.7109375" style="37" customWidth="1"/>
    <col min="4120" max="4120" width="4.7109375" style="37" customWidth="1"/>
    <col min="4121" max="4121" width="2.85546875" style="37" customWidth="1"/>
    <col min="4122" max="4122" width="33.28515625" style="37" customWidth="1"/>
    <col min="4123" max="4123" width="4.7109375" style="37" customWidth="1"/>
    <col min="4124" max="4352" width="9.140625" style="37"/>
    <col min="4353" max="4353" width="3.42578125" style="37" customWidth="1"/>
    <col min="4354" max="4354" width="16.5703125" style="37" customWidth="1"/>
    <col min="4355" max="4355" width="4.7109375" style="37" customWidth="1"/>
    <col min="4356" max="4356" width="4.5703125" style="37" customWidth="1"/>
    <col min="4357" max="4357" width="16.85546875" style="37" customWidth="1"/>
    <col min="4358" max="4358" width="4.7109375" style="37" customWidth="1"/>
    <col min="4359" max="4359" width="5.28515625" style="37" customWidth="1"/>
    <col min="4360" max="4360" width="16.7109375" style="37" customWidth="1"/>
    <col min="4361" max="4361" width="4.7109375" style="37" customWidth="1"/>
    <col min="4362" max="4362" width="5.42578125" style="37" customWidth="1"/>
    <col min="4363" max="4363" width="16.7109375" style="37" customWidth="1"/>
    <col min="4364" max="4365" width="4.7109375" style="37" customWidth="1"/>
    <col min="4366" max="4366" width="16.7109375" style="37" customWidth="1"/>
    <col min="4367" max="4367" width="4.7109375" style="37" customWidth="1"/>
    <col min="4368" max="4368" width="2.85546875" style="37" customWidth="1"/>
    <col min="4369" max="4369" width="4.28515625" style="37" customWidth="1"/>
    <col min="4370" max="4370" width="17.140625" style="37" customWidth="1"/>
    <col min="4371" max="4371" width="4.7109375" style="37" customWidth="1"/>
    <col min="4372" max="4372" width="3" style="37" customWidth="1"/>
    <col min="4373" max="4373" width="2.42578125" style="37" customWidth="1"/>
    <col min="4374" max="4374" width="2.28515625" style="37" customWidth="1"/>
    <col min="4375" max="4375" width="20.7109375" style="37" customWidth="1"/>
    <col min="4376" max="4376" width="4.7109375" style="37" customWidth="1"/>
    <col min="4377" max="4377" width="2.85546875" style="37" customWidth="1"/>
    <col min="4378" max="4378" width="33.28515625" style="37" customWidth="1"/>
    <col min="4379" max="4379" width="4.7109375" style="37" customWidth="1"/>
    <col min="4380" max="4608" width="9.140625" style="37"/>
    <col min="4609" max="4609" width="3.42578125" style="37" customWidth="1"/>
    <col min="4610" max="4610" width="16.5703125" style="37" customWidth="1"/>
    <col min="4611" max="4611" width="4.7109375" style="37" customWidth="1"/>
    <col min="4612" max="4612" width="4.5703125" style="37" customWidth="1"/>
    <col min="4613" max="4613" width="16.85546875" style="37" customWidth="1"/>
    <col min="4614" max="4614" width="4.7109375" style="37" customWidth="1"/>
    <col min="4615" max="4615" width="5.28515625" style="37" customWidth="1"/>
    <col min="4616" max="4616" width="16.7109375" style="37" customWidth="1"/>
    <col min="4617" max="4617" width="4.7109375" style="37" customWidth="1"/>
    <col min="4618" max="4618" width="5.42578125" style="37" customWidth="1"/>
    <col min="4619" max="4619" width="16.7109375" style="37" customWidth="1"/>
    <col min="4620" max="4621" width="4.7109375" style="37" customWidth="1"/>
    <col min="4622" max="4622" width="16.7109375" style="37" customWidth="1"/>
    <col min="4623" max="4623" width="4.7109375" style="37" customWidth="1"/>
    <col min="4624" max="4624" width="2.85546875" style="37" customWidth="1"/>
    <col min="4625" max="4625" width="4.28515625" style="37" customWidth="1"/>
    <col min="4626" max="4626" width="17.140625" style="37" customWidth="1"/>
    <col min="4627" max="4627" width="4.7109375" style="37" customWidth="1"/>
    <col min="4628" max="4628" width="3" style="37" customWidth="1"/>
    <col min="4629" max="4629" width="2.42578125" style="37" customWidth="1"/>
    <col min="4630" max="4630" width="2.28515625" style="37" customWidth="1"/>
    <col min="4631" max="4631" width="20.7109375" style="37" customWidth="1"/>
    <col min="4632" max="4632" width="4.7109375" style="37" customWidth="1"/>
    <col min="4633" max="4633" width="2.85546875" style="37" customWidth="1"/>
    <col min="4634" max="4634" width="33.28515625" style="37" customWidth="1"/>
    <col min="4635" max="4635" width="4.7109375" style="37" customWidth="1"/>
    <col min="4636" max="4864" width="9.140625" style="37"/>
    <col min="4865" max="4865" width="3.42578125" style="37" customWidth="1"/>
    <col min="4866" max="4866" width="16.5703125" style="37" customWidth="1"/>
    <col min="4867" max="4867" width="4.7109375" style="37" customWidth="1"/>
    <col min="4868" max="4868" width="4.5703125" style="37" customWidth="1"/>
    <col min="4869" max="4869" width="16.85546875" style="37" customWidth="1"/>
    <col min="4870" max="4870" width="4.7109375" style="37" customWidth="1"/>
    <col min="4871" max="4871" width="5.28515625" style="37" customWidth="1"/>
    <col min="4872" max="4872" width="16.7109375" style="37" customWidth="1"/>
    <col min="4873" max="4873" width="4.7109375" style="37" customWidth="1"/>
    <col min="4874" max="4874" width="5.42578125" style="37" customWidth="1"/>
    <col min="4875" max="4875" width="16.7109375" style="37" customWidth="1"/>
    <col min="4876" max="4877" width="4.7109375" style="37" customWidth="1"/>
    <col min="4878" max="4878" width="16.7109375" style="37" customWidth="1"/>
    <col min="4879" max="4879" width="4.7109375" style="37" customWidth="1"/>
    <col min="4880" max="4880" width="2.85546875" style="37" customWidth="1"/>
    <col min="4881" max="4881" width="4.28515625" style="37" customWidth="1"/>
    <col min="4882" max="4882" width="17.140625" style="37" customWidth="1"/>
    <col min="4883" max="4883" width="4.7109375" style="37" customWidth="1"/>
    <col min="4884" max="4884" width="3" style="37" customWidth="1"/>
    <col min="4885" max="4885" width="2.42578125" style="37" customWidth="1"/>
    <col min="4886" max="4886" width="2.28515625" style="37" customWidth="1"/>
    <col min="4887" max="4887" width="20.7109375" style="37" customWidth="1"/>
    <col min="4888" max="4888" width="4.7109375" style="37" customWidth="1"/>
    <col min="4889" max="4889" width="2.85546875" style="37" customWidth="1"/>
    <col min="4890" max="4890" width="33.28515625" style="37" customWidth="1"/>
    <col min="4891" max="4891" width="4.7109375" style="37" customWidth="1"/>
    <col min="4892" max="5120" width="9.140625" style="37"/>
    <col min="5121" max="5121" width="3.42578125" style="37" customWidth="1"/>
    <col min="5122" max="5122" width="16.5703125" style="37" customWidth="1"/>
    <col min="5123" max="5123" width="4.7109375" style="37" customWidth="1"/>
    <col min="5124" max="5124" width="4.5703125" style="37" customWidth="1"/>
    <col min="5125" max="5125" width="16.85546875" style="37" customWidth="1"/>
    <col min="5126" max="5126" width="4.7109375" style="37" customWidth="1"/>
    <col min="5127" max="5127" width="5.28515625" style="37" customWidth="1"/>
    <col min="5128" max="5128" width="16.7109375" style="37" customWidth="1"/>
    <col min="5129" max="5129" width="4.7109375" style="37" customWidth="1"/>
    <col min="5130" max="5130" width="5.42578125" style="37" customWidth="1"/>
    <col min="5131" max="5131" width="16.7109375" style="37" customWidth="1"/>
    <col min="5132" max="5133" width="4.7109375" style="37" customWidth="1"/>
    <col min="5134" max="5134" width="16.7109375" style="37" customWidth="1"/>
    <col min="5135" max="5135" width="4.7109375" style="37" customWidth="1"/>
    <col min="5136" max="5136" width="2.85546875" style="37" customWidth="1"/>
    <col min="5137" max="5137" width="4.28515625" style="37" customWidth="1"/>
    <col min="5138" max="5138" width="17.140625" style="37" customWidth="1"/>
    <col min="5139" max="5139" width="4.7109375" style="37" customWidth="1"/>
    <col min="5140" max="5140" width="3" style="37" customWidth="1"/>
    <col min="5141" max="5141" width="2.42578125" style="37" customWidth="1"/>
    <col min="5142" max="5142" width="2.28515625" style="37" customWidth="1"/>
    <col min="5143" max="5143" width="20.7109375" style="37" customWidth="1"/>
    <col min="5144" max="5144" width="4.7109375" style="37" customWidth="1"/>
    <col min="5145" max="5145" width="2.85546875" style="37" customWidth="1"/>
    <col min="5146" max="5146" width="33.28515625" style="37" customWidth="1"/>
    <col min="5147" max="5147" width="4.7109375" style="37" customWidth="1"/>
    <col min="5148" max="5376" width="9.140625" style="37"/>
    <col min="5377" max="5377" width="3.42578125" style="37" customWidth="1"/>
    <col min="5378" max="5378" width="16.5703125" style="37" customWidth="1"/>
    <col min="5379" max="5379" width="4.7109375" style="37" customWidth="1"/>
    <col min="5380" max="5380" width="4.5703125" style="37" customWidth="1"/>
    <col min="5381" max="5381" width="16.85546875" style="37" customWidth="1"/>
    <col min="5382" max="5382" width="4.7109375" style="37" customWidth="1"/>
    <col min="5383" max="5383" width="5.28515625" style="37" customWidth="1"/>
    <col min="5384" max="5384" width="16.7109375" style="37" customWidth="1"/>
    <col min="5385" max="5385" width="4.7109375" style="37" customWidth="1"/>
    <col min="5386" max="5386" width="5.42578125" style="37" customWidth="1"/>
    <col min="5387" max="5387" width="16.7109375" style="37" customWidth="1"/>
    <col min="5388" max="5389" width="4.7109375" style="37" customWidth="1"/>
    <col min="5390" max="5390" width="16.7109375" style="37" customWidth="1"/>
    <col min="5391" max="5391" width="4.7109375" style="37" customWidth="1"/>
    <col min="5392" max="5392" width="2.85546875" style="37" customWidth="1"/>
    <col min="5393" max="5393" width="4.28515625" style="37" customWidth="1"/>
    <col min="5394" max="5394" width="17.140625" style="37" customWidth="1"/>
    <col min="5395" max="5395" width="4.7109375" style="37" customWidth="1"/>
    <col min="5396" max="5396" width="3" style="37" customWidth="1"/>
    <col min="5397" max="5397" width="2.42578125" style="37" customWidth="1"/>
    <col min="5398" max="5398" width="2.28515625" style="37" customWidth="1"/>
    <col min="5399" max="5399" width="20.7109375" style="37" customWidth="1"/>
    <col min="5400" max="5400" width="4.7109375" style="37" customWidth="1"/>
    <col min="5401" max="5401" width="2.85546875" style="37" customWidth="1"/>
    <col min="5402" max="5402" width="33.28515625" style="37" customWidth="1"/>
    <col min="5403" max="5403" width="4.7109375" style="37" customWidth="1"/>
    <col min="5404" max="5632" width="9.140625" style="37"/>
    <col min="5633" max="5633" width="3.42578125" style="37" customWidth="1"/>
    <col min="5634" max="5634" width="16.5703125" style="37" customWidth="1"/>
    <col min="5635" max="5635" width="4.7109375" style="37" customWidth="1"/>
    <col min="5636" max="5636" width="4.5703125" style="37" customWidth="1"/>
    <col min="5637" max="5637" width="16.85546875" style="37" customWidth="1"/>
    <col min="5638" max="5638" width="4.7109375" style="37" customWidth="1"/>
    <col min="5639" max="5639" width="5.28515625" style="37" customWidth="1"/>
    <col min="5640" max="5640" width="16.7109375" style="37" customWidth="1"/>
    <col min="5641" max="5641" width="4.7109375" style="37" customWidth="1"/>
    <col min="5642" max="5642" width="5.42578125" style="37" customWidth="1"/>
    <col min="5643" max="5643" width="16.7109375" style="37" customWidth="1"/>
    <col min="5644" max="5645" width="4.7109375" style="37" customWidth="1"/>
    <col min="5646" max="5646" width="16.7109375" style="37" customWidth="1"/>
    <col min="5647" max="5647" width="4.7109375" style="37" customWidth="1"/>
    <col min="5648" max="5648" width="2.85546875" style="37" customWidth="1"/>
    <col min="5649" max="5649" width="4.28515625" style="37" customWidth="1"/>
    <col min="5650" max="5650" width="17.140625" style="37" customWidth="1"/>
    <col min="5651" max="5651" width="4.7109375" style="37" customWidth="1"/>
    <col min="5652" max="5652" width="3" style="37" customWidth="1"/>
    <col min="5653" max="5653" width="2.42578125" style="37" customWidth="1"/>
    <col min="5654" max="5654" width="2.28515625" style="37" customWidth="1"/>
    <col min="5655" max="5655" width="20.7109375" style="37" customWidth="1"/>
    <col min="5656" max="5656" width="4.7109375" style="37" customWidth="1"/>
    <col min="5657" max="5657" width="2.85546875" style="37" customWidth="1"/>
    <col min="5658" max="5658" width="33.28515625" style="37" customWidth="1"/>
    <col min="5659" max="5659" width="4.7109375" style="37" customWidth="1"/>
    <col min="5660" max="5888" width="9.140625" style="37"/>
    <col min="5889" max="5889" width="3.42578125" style="37" customWidth="1"/>
    <col min="5890" max="5890" width="16.5703125" style="37" customWidth="1"/>
    <col min="5891" max="5891" width="4.7109375" style="37" customWidth="1"/>
    <col min="5892" max="5892" width="4.5703125" style="37" customWidth="1"/>
    <col min="5893" max="5893" width="16.85546875" style="37" customWidth="1"/>
    <col min="5894" max="5894" width="4.7109375" style="37" customWidth="1"/>
    <col min="5895" max="5895" width="5.28515625" style="37" customWidth="1"/>
    <col min="5896" max="5896" width="16.7109375" style="37" customWidth="1"/>
    <col min="5897" max="5897" width="4.7109375" style="37" customWidth="1"/>
    <col min="5898" max="5898" width="5.42578125" style="37" customWidth="1"/>
    <col min="5899" max="5899" width="16.7109375" style="37" customWidth="1"/>
    <col min="5900" max="5901" width="4.7109375" style="37" customWidth="1"/>
    <col min="5902" max="5902" width="16.7109375" style="37" customWidth="1"/>
    <col min="5903" max="5903" width="4.7109375" style="37" customWidth="1"/>
    <col min="5904" max="5904" width="2.85546875" style="37" customWidth="1"/>
    <col min="5905" max="5905" width="4.28515625" style="37" customWidth="1"/>
    <col min="5906" max="5906" width="17.140625" style="37" customWidth="1"/>
    <col min="5907" max="5907" width="4.7109375" style="37" customWidth="1"/>
    <col min="5908" max="5908" width="3" style="37" customWidth="1"/>
    <col min="5909" max="5909" width="2.42578125" style="37" customWidth="1"/>
    <col min="5910" max="5910" width="2.28515625" style="37" customWidth="1"/>
    <col min="5911" max="5911" width="20.7109375" style="37" customWidth="1"/>
    <col min="5912" max="5912" width="4.7109375" style="37" customWidth="1"/>
    <col min="5913" max="5913" width="2.85546875" style="37" customWidth="1"/>
    <col min="5914" max="5914" width="33.28515625" style="37" customWidth="1"/>
    <col min="5915" max="5915" width="4.7109375" style="37" customWidth="1"/>
    <col min="5916" max="6144" width="9.140625" style="37"/>
    <col min="6145" max="6145" width="3.42578125" style="37" customWidth="1"/>
    <col min="6146" max="6146" width="16.5703125" style="37" customWidth="1"/>
    <col min="6147" max="6147" width="4.7109375" style="37" customWidth="1"/>
    <col min="6148" max="6148" width="4.5703125" style="37" customWidth="1"/>
    <col min="6149" max="6149" width="16.85546875" style="37" customWidth="1"/>
    <col min="6150" max="6150" width="4.7109375" style="37" customWidth="1"/>
    <col min="6151" max="6151" width="5.28515625" style="37" customWidth="1"/>
    <col min="6152" max="6152" width="16.7109375" style="37" customWidth="1"/>
    <col min="6153" max="6153" width="4.7109375" style="37" customWidth="1"/>
    <col min="6154" max="6154" width="5.42578125" style="37" customWidth="1"/>
    <col min="6155" max="6155" width="16.7109375" style="37" customWidth="1"/>
    <col min="6156" max="6157" width="4.7109375" style="37" customWidth="1"/>
    <col min="6158" max="6158" width="16.7109375" style="37" customWidth="1"/>
    <col min="6159" max="6159" width="4.7109375" style="37" customWidth="1"/>
    <col min="6160" max="6160" width="2.85546875" style="37" customWidth="1"/>
    <col min="6161" max="6161" width="4.28515625" style="37" customWidth="1"/>
    <col min="6162" max="6162" width="17.140625" style="37" customWidth="1"/>
    <col min="6163" max="6163" width="4.7109375" style="37" customWidth="1"/>
    <col min="6164" max="6164" width="3" style="37" customWidth="1"/>
    <col min="6165" max="6165" width="2.42578125" style="37" customWidth="1"/>
    <col min="6166" max="6166" width="2.28515625" style="37" customWidth="1"/>
    <col min="6167" max="6167" width="20.7109375" style="37" customWidth="1"/>
    <col min="6168" max="6168" width="4.7109375" style="37" customWidth="1"/>
    <col min="6169" max="6169" width="2.85546875" style="37" customWidth="1"/>
    <col min="6170" max="6170" width="33.28515625" style="37" customWidth="1"/>
    <col min="6171" max="6171" width="4.7109375" style="37" customWidth="1"/>
    <col min="6172" max="6400" width="9.140625" style="37"/>
    <col min="6401" max="6401" width="3.42578125" style="37" customWidth="1"/>
    <col min="6402" max="6402" width="16.5703125" style="37" customWidth="1"/>
    <col min="6403" max="6403" width="4.7109375" style="37" customWidth="1"/>
    <col min="6404" max="6404" width="4.5703125" style="37" customWidth="1"/>
    <col min="6405" max="6405" width="16.85546875" style="37" customWidth="1"/>
    <col min="6406" max="6406" width="4.7109375" style="37" customWidth="1"/>
    <col min="6407" max="6407" width="5.28515625" style="37" customWidth="1"/>
    <col min="6408" max="6408" width="16.7109375" style="37" customWidth="1"/>
    <col min="6409" max="6409" width="4.7109375" style="37" customWidth="1"/>
    <col min="6410" max="6410" width="5.42578125" style="37" customWidth="1"/>
    <col min="6411" max="6411" width="16.7109375" style="37" customWidth="1"/>
    <col min="6412" max="6413" width="4.7109375" style="37" customWidth="1"/>
    <col min="6414" max="6414" width="16.7109375" style="37" customWidth="1"/>
    <col min="6415" max="6415" width="4.7109375" style="37" customWidth="1"/>
    <col min="6416" max="6416" width="2.85546875" style="37" customWidth="1"/>
    <col min="6417" max="6417" width="4.28515625" style="37" customWidth="1"/>
    <col min="6418" max="6418" width="17.140625" style="37" customWidth="1"/>
    <col min="6419" max="6419" width="4.7109375" style="37" customWidth="1"/>
    <col min="6420" max="6420" width="3" style="37" customWidth="1"/>
    <col min="6421" max="6421" width="2.42578125" style="37" customWidth="1"/>
    <col min="6422" max="6422" width="2.28515625" style="37" customWidth="1"/>
    <col min="6423" max="6423" width="20.7109375" style="37" customWidth="1"/>
    <col min="6424" max="6424" width="4.7109375" style="37" customWidth="1"/>
    <col min="6425" max="6425" width="2.85546875" style="37" customWidth="1"/>
    <col min="6426" max="6426" width="33.28515625" style="37" customWidth="1"/>
    <col min="6427" max="6427" width="4.7109375" style="37" customWidth="1"/>
    <col min="6428" max="6656" width="9.140625" style="37"/>
    <col min="6657" max="6657" width="3.42578125" style="37" customWidth="1"/>
    <col min="6658" max="6658" width="16.5703125" style="37" customWidth="1"/>
    <col min="6659" max="6659" width="4.7109375" style="37" customWidth="1"/>
    <col min="6660" max="6660" width="4.5703125" style="37" customWidth="1"/>
    <col min="6661" max="6661" width="16.85546875" style="37" customWidth="1"/>
    <col min="6662" max="6662" width="4.7109375" style="37" customWidth="1"/>
    <col min="6663" max="6663" width="5.28515625" style="37" customWidth="1"/>
    <col min="6664" max="6664" width="16.7109375" style="37" customWidth="1"/>
    <col min="6665" max="6665" width="4.7109375" style="37" customWidth="1"/>
    <col min="6666" max="6666" width="5.42578125" style="37" customWidth="1"/>
    <col min="6667" max="6667" width="16.7109375" style="37" customWidth="1"/>
    <col min="6668" max="6669" width="4.7109375" style="37" customWidth="1"/>
    <col min="6670" max="6670" width="16.7109375" style="37" customWidth="1"/>
    <col min="6671" max="6671" width="4.7109375" style="37" customWidth="1"/>
    <col min="6672" max="6672" width="2.85546875" style="37" customWidth="1"/>
    <col min="6673" max="6673" width="4.28515625" style="37" customWidth="1"/>
    <col min="6674" max="6674" width="17.140625" style="37" customWidth="1"/>
    <col min="6675" max="6675" width="4.7109375" style="37" customWidth="1"/>
    <col min="6676" max="6676" width="3" style="37" customWidth="1"/>
    <col min="6677" max="6677" width="2.42578125" style="37" customWidth="1"/>
    <col min="6678" max="6678" width="2.28515625" style="37" customWidth="1"/>
    <col min="6679" max="6679" width="20.7109375" style="37" customWidth="1"/>
    <col min="6680" max="6680" width="4.7109375" style="37" customWidth="1"/>
    <col min="6681" max="6681" width="2.85546875" style="37" customWidth="1"/>
    <col min="6682" max="6682" width="33.28515625" style="37" customWidth="1"/>
    <col min="6683" max="6683" width="4.7109375" style="37" customWidth="1"/>
    <col min="6684" max="6912" width="9.140625" style="37"/>
    <col min="6913" max="6913" width="3.42578125" style="37" customWidth="1"/>
    <col min="6914" max="6914" width="16.5703125" style="37" customWidth="1"/>
    <col min="6915" max="6915" width="4.7109375" style="37" customWidth="1"/>
    <col min="6916" max="6916" width="4.5703125" style="37" customWidth="1"/>
    <col min="6917" max="6917" width="16.85546875" style="37" customWidth="1"/>
    <col min="6918" max="6918" width="4.7109375" style="37" customWidth="1"/>
    <col min="6919" max="6919" width="5.28515625" style="37" customWidth="1"/>
    <col min="6920" max="6920" width="16.7109375" style="37" customWidth="1"/>
    <col min="6921" max="6921" width="4.7109375" style="37" customWidth="1"/>
    <col min="6922" max="6922" width="5.42578125" style="37" customWidth="1"/>
    <col min="6923" max="6923" width="16.7109375" style="37" customWidth="1"/>
    <col min="6924" max="6925" width="4.7109375" style="37" customWidth="1"/>
    <col min="6926" max="6926" width="16.7109375" style="37" customWidth="1"/>
    <col min="6927" max="6927" width="4.7109375" style="37" customWidth="1"/>
    <col min="6928" max="6928" width="2.85546875" style="37" customWidth="1"/>
    <col min="6929" max="6929" width="4.28515625" style="37" customWidth="1"/>
    <col min="6930" max="6930" width="17.140625" style="37" customWidth="1"/>
    <col min="6931" max="6931" width="4.7109375" style="37" customWidth="1"/>
    <col min="6932" max="6932" width="3" style="37" customWidth="1"/>
    <col min="6933" max="6933" width="2.42578125" style="37" customWidth="1"/>
    <col min="6934" max="6934" width="2.28515625" style="37" customWidth="1"/>
    <col min="6935" max="6935" width="20.7109375" style="37" customWidth="1"/>
    <col min="6936" max="6936" width="4.7109375" style="37" customWidth="1"/>
    <col min="6937" max="6937" width="2.85546875" style="37" customWidth="1"/>
    <col min="6938" max="6938" width="33.28515625" style="37" customWidth="1"/>
    <col min="6939" max="6939" width="4.7109375" style="37" customWidth="1"/>
    <col min="6940" max="7168" width="9.140625" style="37"/>
    <col min="7169" max="7169" width="3.42578125" style="37" customWidth="1"/>
    <col min="7170" max="7170" width="16.5703125" style="37" customWidth="1"/>
    <col min="7171" max="7171" width="4.7109375" style="37" customWidth="1"/>
    <col min="7172" max="7172" width="4.5703125" style="37" customWidth="1"/>
    <col min="7173" max="7173" width="16.85546875" style="37" customWidth="1"/>
    <col min="7174" max="7174" width="4.7109375" style="37" customWidth="1"/>
    <col min="7175" max="7175" width="5.28515625" style="37" customWidth="1"/>
    <col min="7176" max="7176" width="16.7109375" style="37" customWidth="1"/>
    <col min="7177" max="7177" width="4.7109375" style="37" customWidth="1"/>
    <col min="7178" max="7178" width="5.42578125" style="37" customWidth="1"/>
    <col min="7179" max="7179" width="16.7109375" style="37" customWidth="1"/>
    <col min="7180" max="7181" width="4.7109375" style="37" customWidth="1"/>
    <col min="7182" max="7182" width="16.7109375" style="37" customWidth="1"/>
    <col min="7183" max="7183" width="4.7109375" style="37" customWidth="1"/>
    <col min="7184" max="7184" width="2.85546875" style="37" customWidth="1"/>
    <col min="7185" max="7185" width="4.28515625" style="37" customWidth="1"/>
    <col min="7186" max="7186" width="17.140625" style="37" customWidth="1"/>
    <col min="7187" max="7187" width="4.7109375" style="37" customWidth="1"/>
    <col min="7188" max="7188" width="3" style="37" customWidth="1"/>
    <col min="7189" max="7189" width="2.42578125" style="37" customWidth="1"/>
    <col min="7190" max="7190" width="2.28515625" style="37" customWidth="1"/>
    <col min="7191" max="7191" width="20.7109375" style="37" customWidth="1"/>
    <col min="7192" max="7192" width="4.7109375" style="37" customWidth="1"/>
    <col min="7193" max="7193" width="2.85546875" style="37" customWidth="1"/>
    <col min="7194" max="7194" width="33.28515625" style="37" customWidth="1"/>
    <col min="7195" max="7195" width="4.7109375" style="37" customWidth="1"/>
    <col min="7196" max="7424" width="9.140625" style="37"/>
    <col min="7425" max="7425" width="3.42578125" style="37" customWidth="1"/>
    <col min="7426" max="7426" width="16.5703125" style="37" customWidth="1"/>
    <col min="7427" max="7427" width="4.7109375" style="37" customWidth="1"/>
    <col min="7428" max="7428" width="4.5703125" style="37" customWidth="1"/>
    <col min="7429" max="7429" width="16.85546875" style="37" customWidth="1"/>
    <col min="7430" max="7430" width="4.7109375" style="37" customWidth="1"/>
    <col min="7431" max="7431" width="5.28515625" style="37" customWidth="1"/>
    <col min="7432" max="7432" width="16.7109375" style="37" customWidth="1"/>
    <col min="7433" max="7433" width="4.7109375" style="37" customWidth="1"/>
    <col min="7434" max="7434" width="5.42578125" style="37" customWidth="1"/>
    <col min="7435" max="7435" width="16.7109375" style="37" customWidth="1"/>
    <col min="7436" max="7437" width="4.7109375" style="37" customWidth="1"/>
    <col min="7438" max="7438" width="16.7109375" style="37" customWidth="1"/>
    <col min="7439" max="7439" width="4.7109375" style="37" customWidth="1"/>
    <col min="7440" max="7440" width="2.85546875" style="37" customWidth="1"/>
    <col min="7441" max="7441" width="4.28515625" style="37" customWidth="1"/>
    <col min="7442" max="7442" width="17.140625" style="37" customWidth="1"/>
    <col min="7443" max="7443" width="4.7109375" style="37" customWidth="1"/>
    <col min="7444" max="7444" width="3" style="37" customWidth="1"/>
    <col min="7445" max="7445" width="2.42578125" style="37" customWidth="1"/>
    <col min="7446" max="7446" width="2.28515625" style="37" customWidth="1"/>
    <col min="7447" max="7447" width="20.7109375" style="37" customWidth="1"/>
    <col min="7448" max="7448" width="4.7109375" style="37" customWidth="1"/>
    <col min="7449" max="7449" width="2.85546875" style="37" customWidth="1"/>
    <col min="7450" max="7450" width="33.28515625" style="37" customWidth="1"/>
    <col min="7451" max="7451" width="4.7109375" style="37" customWidth="1"/>
    <col min="7452" max="7680" width="9.140625" style="37"/>
    <col min="7681" max="7681" width="3.42578125" style="37" customWidth="1"/>
    <col min="7682" max="7682" width="16.5703125" style="37" customWidth="1"/>
    <col min="7683" max="7683" width="4.7109375" style="37" customWidth="1"/>
    <col min="7684" max="7684" width="4.5703125" style="37" customWidth="1"/>
    <col min="7685" max="7685" width="16.85546875" style="37" customWidth="1"/>
    <col min="7686" max="7686" width="4.7109375" style="37" customWidth="1"/>
    <col min="7687" max="7687" width="5.28515625" style="37" customWidth="1"/>
    <col min="7688" max="7688" width="16.7109375" style="37" customWidth="1"/>
    <col min="7689" max="7689" width="4.7109375" style="37" customWidth="1"/>
    <col min="7690" max="7690" width="5.42578125" style="37" customWidth="1"/>
    <col min="7691" max="7691" width="16.7109375" style="37" customWidth="1"/>
    <col min="7692" max="7693" width="4.7109375" style="37" customWidth="1"/>
    <col min="7694" max="7694" width="16.7109375" style="37" customWidth="1"/>
    <col min="7695" max="7695" width="4.7109375" style="37" customWidth="1"/>
    <col min="7696" max="7696" width="2.85546875" style="37" customWidth="1"/>
    <col min="7697" max="7697" width="4.28515625" style="37" customWidth="1"/>
    <col min="7698" max="7698" width="17.140625" style="37" customWidth="1"/>
    <col min="7699" max="7699" width="4.7109375" style="37" customWidth="1"/>
    <col min="7700" max="7700" width="3" style="37" customWidth="1"/>
    <col min="7701" max="7701" width="2.42578125" style="37" customWidth="1"/>
    <col min="7702" max="7702" width="2.28515625" style="37" customWidth="1"/>
    <col min="7703" max="7703" width="20.7109375" style="37" customWidth="1"/>
    <col min="7704" max="7704" width="4.7109375" style="37" customWidth="1"/>
    <col min="7705" max="7705" width="2.85546875" style="37" customWidth="1"/>
    <col min="7706" max="7706" width="33.28515625" style="37" customWidth="1"/>
    <col min="7707" max="7707" width="4.7109375" style="37" customWidth="1"/>
    <col min="7708" max="7936" width="9.140625" style="37"/>
    <col min="7937" max="7937" width="3.42578125" style="37" customWidth="1"/>
    <col min="7938" max="7938" width="16.5703125" style="37" customWidth="1"/>
    <col min="7939" max="7939" width="4.7109375" style="37" customWidth="1"/>
    <col min="7940" max="7940" width="4.5703125" style="37" customWidth="1"/>
    <col min="7941" max="7941" width="16.85546875" style="37" customWidth="1"/>
    <col min="7942" max="7942" width="4.7109375" style="37" customWidth="1"/>
    <col min="7943" max="7943" width="5.28515625" style="37" customWidth="1"/>
    <col min="7944" max="7944" width="16.7109375" style="37" customWidth="1"/>
    <col min="7945" max="7945" width="4.7109375" style="37" customWidth="1"/>
    <col min="7946" max="7946" width="5.42578125" style="37" customWidth="1"/>
    <col min="7947" max="7947" width="16.7109375" style="37" customWidth="1"/>
    <col min="7948" max="7949" width="4.7109375" style="37" customWidth="1"/>
    <col min="7950" max="7950" width="16.7109375" style="37" customWidth="1"/>
    <col min="7951" max="7951" width="4.7109375" style="37" customWidth="1"/>
    <col min="7952" max="7952" width="2.85546875" style="37" customWidth="1"/>
    <col min="7953" max="7953" width="4.28515625" style="37" customWidth="1"/>
    <col min="7954" max="7954" width="17.140625" style="37" customWidth="1"/>
    <col min="7955" max="7955" width="4.7109375" style="37" customWidth="1"/>
    <col min="7956" max="7956" width="3" style="37" customWidth="1"/>
    <col min="7957" max="7957" width="2.42578125" style="37" customWidth="1"/>
    <col min="7958" max="7958" width="2.28515625" style="37" customWidth="1"/>
    <col min="7959" max="7959" width="20.7109375" style="37" customWidth="1"/>
    <col min="7960" max="7960" width="4.7109375" style="37" customWidth="1"/>
    <col min="7961" max="7961" width="2.85546875" style="37" customWidth="1"/>
    <col min="7962" max="7962" width="33.28515625" style="37" customWidth="1"/>
    <col min="7963" max="7963" width="4.7109375" style="37" customWidth="1"/>
    <col min="7964" max="8192" width="9.140625" style="37"/>
    <col min="8193" max="8193" width="3.42578125" style="37" customWidth="1"/>
    <col min="8194" max="8194" width="16.5703125" style="37" customWidth="1"/>
    <col min="8195" max="8195" width="4.7109375" style="37" customWidth="1"/>
    <col min="8196" max="8196" width="4.5703125" style="37" customWidth="1"/>
    <col min="8197" max="8197" width="16.85546875" style="37" customWidth="1"/>
    <col min="8198" max="8198" width="4.7109375" style="37" customWidth="1"/>
    <col min="8199" max="8199" width="5.28515625" style="37" customWidth="1"/>
    <col min="8200" max="8200" width="16.7109375" style="37" customWidth="1"/>
    <col min="8201" max="8201" width="4.7109375" style="37" customWidth="1"/>
    <col min="8202" max="8202" width="5.42578125" style="37" customWidth="1"/>
    <col min="8203" max="8203" width="16.7109375" style="37" customWidth="1"/>
    <col min="8204" max="8205" width="4.7109375" style="37" customWidth="1"/>
    <col min="8206" max="8206" width="16.7109375" style="37" customWidth="1"/>
    <col min="8207" max="8207" width="4.7109375" style="37" customWidth="1"/>
    <col min="8208" max="8208" width="2.85546875" style="37" customWidth="1"/>
    <col min="8209" max="8209" width="4.28515625" style="37" customWidth="1"/>
    <col min="8210" max="8210" width="17.140625" style="37" customWidth="1"/>
    <col min="8211" max="8211" width="4.7109375" style="37" customWidth="1"/>
    <col min="8212" max="8212" width="3" style="37" customWidth="1"/>
    <col min="8213" max="8213" width="2.42578125" style="37" customWidth="1"/>
    <col min="8214" max="8214" width="2.28515625" style="37" customWidth="1"/>
    <col min="8215" max="8215" width="20.7109375" style="37" customWidth="1"/>
    <col min="8216" max="8216" width="4.7109375" style="37" customWidth="1"/>
    <col min="8217" max="8217" width="2.85546875" style="37" customWidth="1"/>
    <col min="8218" max="8218" width="33.28515625" style="37" customWidth="1"/>
    <col min="8219" max="8219" width="4.7109375" style="37" customWidth="1"/>
    <col min="8220" max="8448" width="9.140625" style="37"/>
    <col min="8449" max="8449" width="3.42578125" style="37" customWidth="1"/>
    <col min="8450" max="8450" width="16.5703125" style="37" customWidth="1"/>
    <col min="8451" max="8451" width="4.7109375" style="37" customWidth="1"/>
    <col min="8452" max="8452" width="4.5703125" style="37" customWidth="1"/>
    <col min="8453" max="8453" width="16.85546875" style="37" customWidth="1"/>
    <col min="8454" max="8454" width="4.7109375" style="37" customWidth="1"/>
    <col min="8455" max="8455" width="5.28515625" style="37" customWidth="1"/>
    <col min="8456" max="8456" width="16.7109375" style="37" customWidth="1"/>
    <col min="8457" max="8457" width="4.7109375" style="37" customWidth="1"/>
    <col min="8458" max="8458" width="5.42578125" style="37" customWidth="1"/>
    <col min="8459" max="8459" width="16.7109375" style="37" customWidth="1"/>
    <col min="8460" max="8461" width="4.7109375" style="37" customWidth="1"/>
    <col min="8462" max="8462" width="16.7109375" style="37" customWidth="1"/>
    <col min="8463" max="8463" width="4.7109375" style="37" customWidth="1"/>
    <col min="8464" max="8464" width="2.85546875" style="37" customWidth="1"/>
    <col min="8465" max="8465" width="4.28515625" style="37" customWidth="1"/>
    <col min="8466" max="8466" width="17.140625" style="37" customWidth="1"/>
    <col min="8467" max="8467" width="4.7109375" style="37" customWidth="1"/>
    <col min="8468" max="8468" width="3" style="37" customWidth="1"/>
    <col min="8469" max="8469" width="2.42578125" style="37" customWidth="1"/>
    <col min="8470" max="8470" width="2.28515625" style="37" customWidth="1"/>
    <col min="8471" max="8471" width="20.7109375" style="37" customWidth="1"/>
    <col min="8472" max="8472" width="4.7109375" style="37" customWidth="1"/>
    <col min="8473" max="8473" width="2.85546875" style="37" customWidth="1"/>
    <col min="8474" max="8474" width="33.28515625" style="37" customWidth="1"/>
    <col min="8475" max="8475" width="4.7109375" style="37" customWidth="1"/>
    <col min="8476" max="8704" width="9.140625" style="37"/>
    <col min="8705" max="8705" width="3.42578125" style="37" customWidth="1"/>
    <col min="8706" max="8706" width="16.5703125" style="37" customWidth="1"/>
    <col min="8707" max="8707" width="4.7109375" style="37" customWidth="1"/>
    <col min="8708" max="8708" width="4.5703125" style="37" customWidth="1"/>
    <col min="8709" max="8709" width="16.85546875" style="37" customWidth="1"/>
    <col min="8710" max="8710" width="4.7109375" style="37" customWidth="1"/>
    <col min="8711" max="8711" width="5.28515625" style="37" customWidth="1"/>
    <col min="8712" max="8712" width="16.7109375" style="37" customWidth="1"/>
    <col min="8713" max="8713" width="4.7109375" style="37" customWidth="1"/>
    <col min="8714" max="8714" width="5.42578125" style="37" customWidth="1"/>
    <col min="8715" max="8715" width="16.7109375" style="37" customWidth="1"/>
    <col min="8716" max="8717" width="4.7109375" style="37" customWidth="1"/>
    <col min="8718" max="8718" width="16.7109375" style="37" customWidth="1"/>
    <col min="8719" max="8719" width="4.7109375" style="37" customWidth="1"/>
    <col min="8720" max="8720" width="2.85546875" style="37" customWidth="1"/>
    <col min="8721" max="8721" width="4.28515625" style="37" customWidth="1"/>
    <col min="8722" max="8722" width="17.140625" style="37" customWidth="1"/>
    <col min="8723" max="8723" width="4.7109375" style="37" customWidth="1"/>
    <col min="8724" max="8724" width="3" style="37" customWidth="1"/>
    <col min="8725" max="8725" width="2.42578125" style="37" customWidth="1"/>
    <col min="8726" max="8726" width="2.28515625" style="37" customWidth="1"/>
    <col min="8727" max="8727" width="20.7109375" style="37" customWidth="1"/>
    <col min="8728" max="8728" width="4.7109375" style="37" customWidth="1"/>
    <col min="8729" max="8729" width="2.85546875" style="37" customWidth="1"/>
    <col min="8730" max="8730" width="33.28515625" style="37" customWidth="1"/>
    <col min="8731" max="8731" width="4.7109375" style="37" customWidth="1"/>
    <col min="8732" max="8960" width="9.140625" style="37"/>
    <col min="8961" max="8961" width="3.42578125" style="37" customWidth="1"/>
    <col min="8962" max="8962" width="16.5703125" style="37" customWidth="1"/>
    <col min="8963" max="8963" width="4.7109375" style="37" customWidth="1"/>
    <col min="8964" max="8964" width="4.5703125" style="37" customWidth="1"/>
    <col min="8965" max="8965" width="16.85546875" style="37" customWidth="1"/>
    <col min="8966" max="8966" width="4.7109375" style="37" customWidth="1"/>
    <col min="8967" max="8967" width="5.28515625" style="37" customWidth="1"/>
    <col min="8968" max="8968" width="16.7109375" style="37" customWidth="1"/>
    <col min="8969" max="8969" width="4.7109375" style="37" customWidth="1"/>
    <col min="8970" max="8970" width="5.42578125" style="37" customWidth="1"/>
    <col min="8971" max="8971" width="16.7109375" style="37" customWidth="1"/>
    <col min="8972" max="8973" width="4.7109375" style="37" customWidth="1"/>
    <col min="8974" max="8974" width="16.7109375" style="37" customWidth="1"/>
    <col min="8975" max="8975" width="4.7109375" style="37" customWidth="1"/>
    <col min="8976" max="8976" width="2.85546875" style="37" customWidth="1"/>
    <col min="8977" max="8977" width="4.28515625" style="37" customWidth="1"/>
    <col min="8978" max="8978" width="17.140625" style="37" customWidth="1"/>
    <col min="8979" max="8979" width="4.7109375" style="37" customWidth="1"/>
    <col min="8980" max="8980" width="3" style="37" customWidth="1"/>
    <col min="8981" max="8981" width="2.42578125" style="37" customWidth="1"/>
    <col min="8982" max="8982" width="2.28515625" style="37" customWidth="1"/>
    <col min="8983" max="8983" width="20.7109375" style="37" customWidth="1"/>
    <col min="8984" max="8984" width="4.7109375" style="37" customWidth="1"/>
    <col min="8985" max="8985" width="2.85546875" style="37" customWidth="1"/>
    <col min="8986" max="8986" width="33.28515625" style="37" customWidth="1"/>
    <col min="8987" max="8987" width="4.7109375" style="37" customWidth="1"/>
    <col min="8988" max="9216" width="9.140625" style="37"/>
    <col min="9217" max="9217" width="3.42578125" style="37" customWidth="1"/>
    <col min="9218" max="9218" width="16.5703125" style="37" customWidth="1"/>
    <col min="9219" max="9219" width="4.7109375" style="37" customWidth="1"/>
    <col min="9220" max="9220" width="4.5703125" style="37" customWidth="1"/>
    <col min="9221" max="9221" width="16.85546875" style="37" customWidth="1"/>
    <col min="9222" max="9222" width="4.7109375" style="37" customWidth="1"/>
    <col min="9223" max="9223" width="5.28515625" style="37" customWidth="1"/>
    <col min="9224" max="9224" width="16.7109375" style="37" customWidth="1"/>
    <col min="9225" max="9225" width="4.7109375" style="37" customWidth="1"/>
    <col min="9226" max="9226" width="5.42578125" style="37" customWidth="1"/>
    <col min="9227" max="9227" width="16.7109375" style="37" customWidth="1"/>
    <col min="9228" max="9229" width="4.7109375" style="37" customWidth="1"/>
    <col min="9230" max="9230" width="16.7109375" style="37" customWidth="1"/>
    <col min="9231" max="9231" width="4.7109375" style="37" customWidth="1"/>
    <col min="9232" max="9232" width="2.85546875" style="37" customWidth="1"/>
    <col min="9233" max="9233" width="4.28515625" style="37" customWidth="1"/>
    <col min="9234" max="9234" width="17.140625" style="37" customWidth="1"/>
    <col min="9235" max="9235" width="4.7109375" style="37" customWidth="1"/>
    <col min="9236" max="9236" width="3" style="37" customWidth="1"/>
    <col min="9237" max="9237" width="2.42578125" style="37" customWidth="1"/>
    <col min="9238" max="9238" width="2.28515625" style="37" customWidth="1"/>
    <col min="9239" max="9239" width="20.7109375" style="37" customWidth="1"/>
    <col min="9240" max="9240" width="4.7109375" style="37" customWidth="1"/>
    <col min="9241" max="9241" width="2.85546875" style="37" customWidth="1"/>
    <col min="9242" max="9242" width="33.28515625" style="37" customWidth="1"/>
    <col min="9243" max="9243" width="4.7109375" style="37" customWidth="1"/>
    <col min="9244" max="9472" width="9.140625" style="37"/>
    <col min="9473" max="9473" width="3.42578125" style="37" customWidth="1"/>
    <col min="9474" max="9474" width="16.5703125" style="37" customWidth="1"/>
    <col min="9475" max="9475" width="4.7109375" style="37" customWidth="1"/>
    <col min="9476" max="9476" width="4.5703125" style="37" customWidth="1"/>
    <col min="9477" max="9477" width="16.85546875" style="37" customWidth="1"/>
    <col min="9478" max="9478" width="4.7109375" style="37" customWidth="1"/>
    <col min="9479" max="9479" width="5.28515625" style="37" customWidth="1"/>
    <col min="9480" max="9480" width="16.7109375" style="37" customWidth="1"/>
    <col min="9481" max="9481" width="4.7109375" style="37" customWidth="1"/>
    <col min="9482" max="9482" width="5.42578125" style="37" customWidth="1"/>
    <col min="9483" max="9483" width="16.7109375" style="37" customWidth="1"/>
    <col min="9484" max="9485" width="4.7109375" style="37" customWidth="1"/>
    <col min="9486" max="9486" width="16.7109375" style="37" customWidth="1"/>
    <col min="9487" max="9487" width="4.7109375" style="37" customWidth="1"/>
    <col min="9488" max="9488" width="2.85546875" style="37" customWidth="1"/>
    <col min="9489" max="9489" width="4.28515625" style="37" customWidth="1"/>
    <col min="9490" max="9490" width="17.140625" style="37" customWidth="1"/>
    <col min="9491" max="9491" width="4.7109375" style="37" customWidth="1"/>
    <col min="9492" max="9492" width="3" style="37" customWidth="1"/>
    <col min="9493" max="9493" width="2.42578125" style="37" customWidth="1"/>
    <col min="9494" max="9494" width="2.28515625" style="37" customWidth="1"/>
    <col min="9495" max="9495" width="20.7109375" style="37" customWidth="1"/>
    <col min="9496" max="9496" width="4.7109375" style="37" customWidth="1"/>
    <col min="9497" max="9497" width="2.85546875" style="37" customWidth="1"/>
    <col min="9498" max="9498" width="33.28515625" style="37" customWidth="1"/>
    <col min="9499" max="9499" width="4.7109375" style="37" customWidth="1"/>
    <col min="9500" max="9728" width="9.140625" style="37"/>
    <col min="9729" max="9729" width="3.42578125" style="37" customWidth="1"/>
    <col min="9730" max="9730" width="16.5703125" style="37" customWidth="1"/>
    <col min="9731" max="9731" width="4.7109375" style="37" customWidth="1"/>
    <col min="9732" max="9732" width="4.5703125" style="37" customWidth="1"/>
    <col min="9733" max="9733" width="16.85546875" style="37" customWidth="1"/>
    <col min="9734" max="9734" width="4.7109375" style="37" customWidth="1"/>
    <col min="9735" max="9735" width="5.28515625" style="37" customWidth="1"/>
    <col min="9736" max="9736" width="16.7109375" style="37" customWidth="1"/>
    <col min="9737" max="9737" width="4.7109375" style="37" customWidth="1"/>
    <col min="9738" max="9738" width="5.42578125" style="37" customWidth="1"/>
    <col min="9739" max="9739" width="16.7109375" style="37" customWidth="1"/>
    <col min="9740" max="9741" width="4.7109375" style="37" customWidth="1"/>
    <col min="9742" max="9742" width="16.7109375" style="37" customWidth="1"/>
    <col min="9743" max="9743" width="4.7109375" style="37" customWidth="1"/>
    <col min="9744" max="9744" width="2.85546875" style="37" customWidth="1"/>
    <col min="9745" max="9745" width="4.28515625" style="37" customWidth="1"/>
    <col min="9746" max="9746" width="17.140625" style="37" customWidth="1"/>
    <col min="9747" max="9747" width="4.7109375" style="37" customWidth="1"/>
    <col min="9748" max="9748" width="3" style="37" customWidth="1"/>
    <col min="9749" max="9749" width="2.42578125" style="37" customWidth="1"/>
    <col min="9750" max="9750" width="2.28515625" style="37" customWidth="1"/>
    <col min="9751" max="9751" width="20.7109375" style="37" customWidth="1"/>
    <col min="9752" max="9752" width="4.7109375" style="37" customWidth="1"/>
    <col min="9753" max="9753" width="2.85546875" style="37" customWidth="1"/>
    <col min="9754" max="9754" width="33.28515625" style="37" customWidth="1"/>
    <col min="9755" max="9755" width="4.7109375" style="37" customWidth="1"/>
    <col min="9756" max="9984" width="9.140625" style="37"/>
    <col min="9985" max="9985" width="3.42578125" style="37" customWidth="1"/>
    <col min="9986" max="9986" width="16.5703125" style="37" customWidth="1"/>
    <col min="9987" max="9987" width="4.7109375" style="37" customWidth="1"/>
    <col min="9988" max="9988" width="4.5703125" style="37" customWidth="1"/>
    <col min="9989" max="9989" width="16.85546875" style="37" customWidth="1"/>
    <col min="9990" max="9990" width="4.7109375" style="37" customWidth="1"/>
    <col min="9991" max="9991" width="5.28515625" style="37" customWidth="1"/>
    <col min="9992" max="9992" width="16.7109375" style="37" customWidth="1"/>
    <col min="9993" max="9993" width="4.7109375" style="37" customWidth="1"/>
    <col min="9994" max="9994" width="5.42578125" style="37" customWidth="1"/>
    <col min="9995" max="9995" width="16.7109375" style="37" customWidth="1"/>
    <col min="9996" max="9997" width="4.7109375" style="37" customWidth="1"/>
    <col min="9998" max="9998" width="16.7109375" style="37" customWidth="1"/>
    <col min="9999" max="9999" width="4.7109375" style="37" customWidth="1"/>
    <col min="10000" max="10000" width="2.85546875" style="37" customWidth="1"/>
    <col min="10001" max="10001" width="4.28515625" style="37" customWidth="1"/>
    <col min="10002" max="10002" width="17.140625" style="37" customWidth="1"/>
    <col min="10003" max="10003" width="4.7109375" style="37" customWidth="1"/>
    <col min="10004" max="10004" width="3" style="37" customWidth="1"/>
    <col min="10005" max="10005" width="2.42578125" style="37" customWidth="1"/>
    <col min="10006" max="10006" width="2.28515625" style="37" customWidth="1"/>
    <col min="10007" max="10007" width="20.7109375" style="37" customWidth="1"/>
    <col min="10008" max="10008" width="4.7109375" style="37" customWidth="1"/>
    <col min="10009" max="10009" width="2.85546875" style="37" customWidth="1"/>
    <col min="10010" max="10010" width="33.28515625" style="37" customWidth="1"/>
    <col min="10011" max="10011" width="4.7109375" style="37" customWidth="1"/>
    <col min="10012" max="10240" width="9.140625" style="37"/>
    <col min="10241" max="10241" width="3.42578125" style="37" customWidth="1"/>
    <col min="10242" max="10242" width="16.5703125" style="37" customWidth="1"/>
    <col min="10243" max="10243" width="4.7109375" style="37" customWidth="1"/>
    <col min="10244" max="10244" width="4.5703125" style="37" customWidth="1"/>
    <col min="10245" max="10245" width="16.85546875" style="37" customWidth="1"/>
    <col min="10246" max="10246" width="4.7109375" style="37" customWidth="1"/>
    <col min="10247" max="10247" width="5.28515625" style="37" customWidth="1"/>
    <col min="10248" max="10248" width="16.7109375" style="37" customWidth="1"/>
    <col min="10249" max="10249" width="4.7109375" style="37" customWidth="1"/>
    <col min="10250" max="10250" width="5.42578125" style="37" customWidth="1"/>
    <col min="10251" max="10251" width="16.7109375" style="37" customWidth="1"/>
    <col min="10252" max="10253" width="4.7109375" style="37" customWidth="1"/>
    <col min="10254" max="10254" width="16.7109375" style="37" customWidth="1"/>
    <col min="10255" max="10255" width="4.7109375" style="37" customWidth="1"/>
    <col min="10256" max="10256" width="2.85546875" style="37" customWidth="1"/>
    <col min="10257" max="10257" width="4.28515625" style="37" customWidth="1"/>
    <col min="10258" max="10258" width="17.140625" style="37" customWidth="1"/>
    <col min="10259" max="10259" width="4.7109375" style="37" customWidth="1"/>
    <col min="10260" max="10260" width="3" style="37" customWidth="1"/>
    <col min="10261" max="10261" width="2.42578125" style="37" customWidth="1"/>
    <col min="10262" max="10262" width="2.28515625" style="37" customWidth="1"/>
    <col min="10263" max="10263" width="20.7109375" style="37" customWidth="1"/>
    <col min="10264" max="10264" width="4.7109375" style="37" customWidth="1"/>
    <col min="10265" max="10265" width="2.85546875" style="37" customWidth="1"/>
    <col min="10266" max="10266" width="33.28515625" style="37" customWidth="1"/>
    <col min="10267" max="10267" width="4.7109375" style="37" customWidth="1"/>
    <col min="10268" max="10496" width="9.140625" style="37"/>
    <col min="10497" max="10497" width="3.42578125" style="37" customWidth="1"/>
    <col min="10498" max="10498" width="16.5703125" style="37" customWidth="1"/>
    <col min="10499" max="10499" width="4.7109375" style="37" customWidth="1"/>
    <col min="10500" max="10500" width="4.5703125" style="37" customWidth="1"/>
    <col min="10501" max="10501" width="16.85546875" style="37" customWidth="1"/>
    <col min="10502" max="10502" width="4.7109375" style="37" customWidth="1"/>
    <col min="10503" max="10503" width="5.28515625" style="37" customWidth="1"/>
    <col min="10504" max="10504" width="16.7109375" style="37" customWidth="1"/>
    <col min="10505" max="10505" width="4.7109375" style="37" customWidth="1"/>
    <col min="10506" max="10506" width="5.42578125" style="37" customWidth="1"/>
    <col min="10507" max="10507" width="16.7109375" style="37" customWidth="1"/>
    <col min="10508" max="10509" width="4.7109375" style="37" customWidth="1"/>
    <col min="10510" max="10510" width="16.7109375" style="37" customWidth="1"/>
    <col min="10511" max="10511" width="4.7109375" style="37" customWidth="1"/>
    <col min="10512" max="10512" width="2.85546875" style="37" customWidth="1"/>
    <col min="10513" max="10513" width="4.28515625" style="37" customWidth="1"/>
    <col min="10514" max="10514" width="17.140625" style="37" customWidth="1"/>
    <col min="10515" max="10515" width="4.7109375" style="37" customWidth="1"/>
    <col min="10516" max="10516" width="3" style="37" customWidth="1"/>
    <col min="10517" max="10517" width="2.42578125" style="37" customWidth="1"/>
    <col min="10518" max="10518" width="2.28515625" style="37" customWidth="1"/>
    <col min="10519" max="10519" width="20.7109375" style="37" customWidth="1"/>
    <col min="10520" max="10520" width="4.7109375" style="37" customWidth="1"/>
    <col min="10521" max="10521" width="2.85546875" style="37" customWidth="1"/>
    <col min="10522" max="10522" width="33.28515625" style="37" customWidth="1"/>
    <col min="10523" max="10523" width="4.7109375" style="37" customWidth="1"/>
    <col min="10524" max="10752" width="9.140625" style="37"/>
    <col min="10753" max="10753" width="3.42578125" style="37" customWidth="1"/>
    <col min="10754" max="10754" width="16.5703125" style="37" customWidth="1"/>
    <col min="10755" max="10755" width="4.7109375" style="37" customWidth="1"/>
    <col min="10756" max="10756" width="4.5703125" style="37" customWidth="1"/>
    <col min="10757" max="10757" width="16.85546875" style="37" customWidth="1"/>
    <col min="10758" max="10758" width="4.7109375" style="37" customWidth="1"/>
    <col min="10759" max="10759" width="5.28515625" style="37" customWidth="1"/>
    <col min="10760" max="10760" width="16.7109375" style="37" customWidth="1"/>
    <col min="10761" max="10761" width="4.7109375" style="37" customWidth="1"/>
    <col min="10762" max="10762" width="5.42578125" style="37" customWidth="1"/>
    <col min="10763" max="10763" width="16.7109375" style="37" customWidth="1"/>
    <col min="10764" max="10765" width="4.7109375" style="37" customWidth="1"/>
    <col min="10766" max="10766" width="16.7109375" style="37" customWidth="1"/>
    <col min="10767" max="10767" width="4.7109375" style="37" customWidth="1"/>
    <col min="10768" max="10768" width="2.85546875" style="37" customWidth="1"/>
    <col min="10769" max="10769" width="4.28515625" style="37" customWidth="1"/>
    <col min="10770" max="10770" width="17.140625" style="37" customWidth="1"/>
    <col min="10771" max="10771" width="4.7109375" style="37" customWidth="1"/>
    <col min="10772" max="10772" width="3" style="37" customWidth="1"/>
    <col min="10773" max="10773" width="2.42578125" style="37" customWidth="1"/>
    <col min="10774" max="10774" width="2.28515625" style="37" customWidth="1"/>
    <col min="10775" max="10775" width="20.7109375" style="37" customWidth="1"/>
    <col min="10776" max="10776" width="4.7109375" style="37" customWidth="1"/>
    <col min="10777" max="10777" width="2.85546875" style="37" customWidth="1"/>
    <col min="10778" max="10778" width="33.28515625" style="37" customWidth="1"/>
    <col min="10779" max="10779" width="4.7109375" style="37" customWidth="1"/>
    <col min="10780" max="11008" width="9.140625" style="37"/>
    <col min="11009" max="11009" width="3.42578125" style="37" customWidth="1"/>
    <col min="11010" max="11010" width="16.5703125" style="37" customWidth="1"/>
    <col min="11011" max="11011" width="4.7109375" style="37" customWidth="1"/>
    <col min="11012" max="11012" width="4.5703125" style="37" customWidth="1"/>
    <col min="11013" max="11013" width="16.85546875" style="37" customWidth="1"/>
    <col min="11014" max="11014" width="4.7109375" style="37" customWidth="1"/>
    <col min="11015" max="11015" width="5.28515625" style="37" customWidth="1"/>
    <col min="11016" max="11016" width="16.7109375" style="37" customWidth="1"/>
    <col min="11017" max="11017" width="4.7109375" style="37" customWidth="1"/>
    <col min="11018" max="11018" width="5.42578125" style="37" customWidth="1"/>
    <col min="11019" max="11019" width="16.7109375" style="37" customWidth="1"/>
    <col min="11020" max="11021" width="4.7109375" style="37" customWidth="1"/>
    <col min="11022" max="11022" width="16.7109375" style="37" customWidth="1"/>
    <col min="11023" max="11023" width="4.7109375" style="37" customWidth="1"/>
    <col min="11024" max="11024" width="2.85546875" style="37" customWidth="1"/>
    <col min="11025" max="11025" width="4.28515625" style="37" customWidth="1"/>
    <col min="11026" max="11026" width="17.140625" style="37" customWidth="1"/>
    <col min="11027" max="11027" width="4.7109375" style="37" customWidth="1"/>
    <col min="11028" max="11028" width="3" style="37" customWidth="1"/>
    <col min="11029" max="11029" width="2.42578125" style="37" customWidth="1"/>
    <col min="11030" max="11030" width="2.28515625" style="37" customWidth="1"/>
    <col min="11031" max="11031" width="20.7109375" style="37" customWidth="1"/>
    <col min="11032" max="11032" width="4.7109375" style="37" customWidth="1"/>
    <col min="11033" max="11033" width="2.85546875" style="37" customWidth="1"/>
    <col min="11034" max="11034" width="33.28515625" style="37" customWidth="1"/>
    <col min="11035" max="11035" width="4.7109375" style="37" customWidth="1"/>
    <col min="11036" max="11264" width="9.140625" style="37"/>
    <col min="11265" max="11265" width="3.42578125" style="37" customWidth="1"/>
    <col min="11266" max="11266" width="16.5703125" style="37" customWidth="1"/>
    <col min="11267" max="11267" width="4.7109375" style="37" customWidth="1"/>
    <col min="11268" max="11268" width="4.5703125" style="37" customWidth="1"/>
    <col min="11269" max="11269" width="16.85546875" style="37" customWidth="1"/>
    <col min="11270" max="11270" width="4.7109375" style="37" customWidth="1"/>
    <col min="11271" max="11271" width="5.28515625" style="37" customWidth="1"/>
    <col min="11272" max="11272" width="16.7109375" style="37" customWidth="1"/>
    <col min="11273" max="11273" width="4.7109375" style="37" customWidth="1"/>
    <col min="11274" max="11274" width="5.42578125" style="37" customWidth="1"/>
    <col min="11275" max="11275" width="16.7109375" style="37" customWidth="1"/>
    <col min="11276" max="11277" width="4.7109375" style="37" customWidth="1"/>
    <col min="11278" max="11278" width="16.7109375" style="37" customWidth="1"/>
    <col min="11279" max="11279" width="4.7109375" style="37" customWidth="1"/>
    <col min="11280" max="11280" width="2.85546875" style="37" customWidth="1"/>
    <col min="11281" max="11281" width="4.28515625" style="37" customWidth="1"/>
    <col min="11282" max="11282" width="17.140625" style="37" customWidth="1"/>
    <col min="11283" max="11283" width="4.7109375" style="37" customWidth="1"/>
    <col min="11284" max="11284" width="3" style="37" customWidth="1"/>
    <col min="11285" max="11285" width="2.42578125" style="37" customWidth="1"/>
    <col min="11286" max="11286" width="2.28515625" style="37" customWidth="1"/>
    <col min="11287" max="11287" width="20.7109375" style="37" customWidth="1"/>
    <col min="11288" max="11288" width="4.7109375" style="37" customWidth="1"/>
    <col min="11289" max="11289" width="2.85546875" style="37" customWidth="1"/>
    <col min="11290" max="11290" width="33.28515625" style="37" customWidth="1"/>
    <col min="11291" max="11291" width="4.7109375" style="37" customWidth="1"/>
    <col min="11292" max="11520" width="9.140625" style="37"/>
    <col min="11521" max="11521" width="3.42578125" style="37" customWidth="1"/>
    <col min="11522" max="11522" width="16.5703125" style="37" customWidth="1"/>
    <col min="11523" max="11523" width="4.7109375" style="37" customWidth="1"/>
    <col min="11524" max="11524" width="4.5703125" style="37" customWidth="1"/>
    <col min="11525" max="11525" width="16.85546875" style="37" customWidth="1"/>
    <col min="11526" max="11526" width="4.7109375" style="37" customWidth="1"/>
    <col min="11527" max="11527" width="5.28515625" style="37" customWidth="1"/>
    <col min="11528" max="11528" width="16.7109375" style="37" customWidth="1"/>
    <col min="11529" max="11529" width="4.7109375" style="37" customWidth="1"/>
    <col min="11530" max="11530" width="5.42578125" style="37" customWidth="1"/>
    <col min="11531" max="11531" width="16.7109375" style="37" customWidth="1"/>
    <col min="11532" max="11533" width="4.7109375" style="37" customWidth="1"/>
    <col min="11534" max="11534" width="16.7109375" style="37" customWidth="1"/>
    <col min="11535" max="11535" width="4.7109375" style="37" customWidth="1"/>
    <col min="11536" max="11536" width="2.85546875" style="37" customWidth="1"/>
    <col min="11537" max="11537" width="4.28515625" style="37" customWidth="1"/>
    <col min="11538" max="11538" width="17.140625" style="37" customWidth="1"/>
    <col min="11539" max="11539" width="4.7109375" style="37" customWidth="1"/>
    <col min="11540" max="11540" width="3" style="37" customWidth="1"/>
    <col min="11541" max="11541" width="2.42578125" style="37" customWidth="1"/>
    <col min="11542" max="11542" width="2.28515625" style="37" customWidth="1"/>
    <col min="11543" max="11543" width="20.7109375" style="37" customWidth="1"/>
    <col min="11544" max="11544" width="4.7109375" style="37" customWidth="1"/>
    <col min="11545" max="11545" width="2.85546875" style="37" customWidth="1"/>
    <col min="11546" max="11546" width="33.28515625" style="37" customWidth="1"/>
    <col min="11547" max="11547" width="4.7109375" style="37" customWidth="1"/>
    <col min="11548" max="11776" width="9.140625" style="37"/>
    <col min="11777" max="11777" width="3.42578125" style="37" customWidth="1"/>
    <col min="11778" max="11778" width="16.5703125" style="37" customWidth="1"/>
    <col min="11779" max="11779" width="4.7109375" style="37" customWidth="1"/>
    <col min="11780" max="11780" width="4.5703125" style="37" customWidth="1"/>
    <col min="11781" max="11781" width="16.85546875" style="37" customWidth="1"/>
    <col min="11782" max="11782" width="4.7109375" style="37" customWidth="1"/>
    <col min="11783" max="11783" width="5.28515625" style="37" customWidth="1"/>
    <col min="11784" max="11784" width="16.7109375" style="37" customWidth="1"/>
    <col min="11785" max="11785" width="4.7109375" style="37" customWidth="1"/>
    <col min="11786" max="11786" width="5.42578125" style="37" customWidth="1"/>
    <col min="11787" max="11787" width="16.7109375" style="37" customWidth="1"/>
    <col min="11788" max="11789" width="4.7109375" style="37" customWidth="1"/>
    <col min="11790" max="11790" width="16.7109375" style="37" customWidth="1"/>
    <col min="11791" max="11791" width="4.7109375" style="37" customWidth="1"/>
    <col min="11792" max="11792" width="2.85546875" style="37" customWidth="1"/>
    <col min="11793" max="11793" width="4.28515625" style="37" customWidth="1"/>
    <col min="11794" max="11794" width="17.140625" style="37" customWidth="1"/>
    <col min="11795" max="11795" width="4.7109375" style="37" customWidth="1"/>
    <col min="11796" max="11796" width="3" style="37" customWidth="1"/>
    <col min="11797" max="11797" width="2.42578125" style="37" customWidth="1"/>
    <col min="11798" max="11798" width="2.28515625" style="37" customWidth="1"/>
    <col min="11799" max="11799" width="20.7109375" style="37" customWidth="1"/>
    <col min="11800" max="11800" width="4.7109375" style="37" customWidth="1"/>
    <col min="11801" max="11801" width="2.85546875" style="37" customWidth="1"/>
    <col min="11802" max="11802" width="33.28515625" style="37" customWidth="1"/>
    <col min="11803" max="11803" width="4.7109375" style="37" customWidth="1"/>
    <col min="11804" max="12032" width="9.140625" style="37"/>
    <col min="12033" max="12033" width="3.42578125" style="37" customWidth="1"/>
    <col min="12034" max="12034" width="16.5703125" style="37" customWidth="1"/>
    <col min="12035" max="12035" width="4.7109375" style="37" customWidth="1"/>
    <col min="12036" max="12036" width="4.5703125" style="37" customWidth="1"/>
    <col min="12037" max="12037" width="16.85546875" style="37" customWidth="1"/>
    <col min="12038" max="12038" width="4.7109375" style="37" customWidth="1"/>
    <col min="12039" max="12039" width="5.28515625" style="37" customWidth="1"/>
    <col min="12040" max="12040" width="16.7109375" style="37" customWidth="1"/>
    <col min="12041" max="12041" width="4.7109375" style="37" customWidth="1"/>
    <col min="12042" max="12042" width="5.42578125" style="37" customWidth="1"/>
    <col min="12043" max="12043" width="16.7109375" style="37" customWidth="1"/>
    <col min="12044" max="12045" width="4.7109375" style="37" customWidth="1"/>
    <col min="12046" max="12046" width="16.7109375" style="37" customWidth="1"/>
    <col min="12047" max="12047" width="4.7109375" style="37" customWidth="1"/>
    <col min="12048" max="12048" width="2.85546875" style="37" customWidth="1"/>
    <col min="12049" max="12049" width="4.28515625" style="37" customWidth="1"/>
    <col min="12050" max="12050" width="17.140625" style="37" customWidth="1"/>
    <col min="12051" max="12051" width="4.7109375" style="37" customWidth="1"/>
    <col min="12052" max="12052" width="3" style="37" customWidth="1"/>
    <col min="12053" max="12053" width="2.42578125" style="37" customWidth="1"/>
    <col min="12054" max="12054" width="2.28515625" style="37" customWidth="1"/>
    <col min="12055" max="12055" width="20.7109375" style="37" customWidth="1"/>
    <col min="12056" max="12056" width="4.7109375" style="37" customWidth="1"/>
    <col min="12057" max="12057" width="2.85546875" style="37" customWidth="1"/>
    <col min="12058" max="12058" width="33.28515625" style="37" customWidth="1"/>
    <col min="12059" max="12059" width="4.7109375" style="37" customWidth="1"/>
    <col min="12060" max="12288" width="9.140625" style="37"/>
    <col min="12289" max="12289" width="3.42578125" style="37" customWidth="1"/>
    <col min="12290" max="12290" width="16.5703125" style="37" customWidth="1"/>
    <col min="12291" max="12291" width="4.7109375" style="37" customWidth="1"/>
    <col min="12292" max="12292" width="4.5703125" style="37" customWidth="1"/>
    <col min="12293" max="12293" width="16.85546875" style="37" customWidth="1"/>
    <col min="12294" max="12294" width="4.7109375" style="37" customWidth="1"/>
    <col min="12295" max="12295" width="5.28515625" style="37" customWidth="1"/>
    <col min="12296" max="12296" width="16.7109375" style="37" customWidth="1"/>
    <col min="12297" max="12297" width="4.7109375" style="37" customWidth="1"/>
    <col min="12298" max="12298" width="5.42578125" style="37" customWidth="1"/>
    <col min="12299" max="12299" width="16.7109375" style="37" customWidth="1"/>
    <col min="12300" max="12301" width="4.7109375" style="37" customWidth="1"/>
    <col min="12302" max="12302" width="16.7109375" style="37" customWidth="1"/>
    <col min="12303" max="12303" width="4.7109375" style="37" customWidth="1"/>
    <col min="12304" max="12304" width="2.85546875" style="37" customWidth="1"/>
    <col min="12305" max="12305" width="4.28515625" style="37" customWidth="1"/>
    <col min="12306" max="12306" width="17.140625" style="37" customWidth="1"/>
    <col min="12307" max="12307" width="4.7109375" style="37" customWidth="1"/>
    <col min="12308" max="12308" width="3" style="37" customWidth="1"/>
    <col min="12309" max="12309" width="2.42578125" style="37" customWidth="1"/>
    <col min="12310" max="12310" width="2.28515625" style="37" customWidth="1"/>
    <col min="12311" max="12311" width="20.7109375" style="37" customWidth="1"/>
    <col min="12312" max="12312" width="4.7109375" style="37" customWidth="1"/>
    <col min="12313" max="12313" width="2.85546875" style="37" customWidth="1"/>
    <col min="12314" max="12314" width="33.28515625" style="37" customWidth="1"/>
    <col min="12315" max="12315" width="4.7109375" style="37" customWidth="1"/>
    <col min="12316" max="12544" width="9.140625" style="37"/>
    <col min="12545" max="12545" width="3.42578125" style="37" customWidth="1"/>
    <col min="12546" max="12546" width="16.5703125" style="37" customWidth="1"/>
    <col min="12547" max="12547" width="4.7109375" style="37" customWidth="1"/>
    <col min="12548" max="12548" width="4.5703125" style="37" customWidth="1"/>
    <col min="12549" max="12549" width="16.85546875" style="37" customWidth="1"/>
    <col min="12550" max="12550" width="4.7109375" style="37" customWidth="1"/>
    <col min="12551" max="12551" width="5.28515625" style="37" customWidth="1"/>
    <col min="12552" max="12552" width="16.7109375" style="37" customWidth="1"/>
    <col min="12553" max="12553" width="4.7109375" style="37" customWidth="1"/>
    <col min="12554" max="12554" width="5.42578125" style="37" customWidth="1"/>
    <col min="12555" max="12555" width="16.7109375" style="37" customWidth="1"/>
    <col min="12556" max="12557" width="4.7109375" style="37" customWidth="1"/>
    <col min="12558" max="12558" width="16.7109375" style="37" customWidth="1"/>
    <col min="12559" max="12559" width="4.7109375" style="37" customWidth="1"/>
    <col min="12560" max="12560" width="2.85546875" style="37" customWidth="1"/>
    <col min="12561" max="12561" width="4.28515625" style="37" customWidth="1"/>
    <col min="12562" max="12562" width="17.140625" style="37" customWidth="1"/>
    <col min="12563" max="12563" width="4.7109375" style="37" customWidth="1"/>
    <col min="12564" max="12564" width="3" style="37" customWidth="1"/>
    <col min="12565" max="12565" width="2.42578125" style="37" customWidth="1"/>
    <col min="12566" max="12566" width="2.28515625" style="37" customWidth="1"/>
    <col min="12567" max="12567" width="20.7109375" style="37" customWidth="1"/>
    <col min="12568" max="12568" width="4.7109375" style="37" customWidth="1"/>
    <col min="12569" max="12569" width="2.85546875" style="37" customWidth="1"/>
    <col min="12570" max="12570" width="33.28515625" style="37" customWidth="1"/>
    <col min="12571" max="12571" width="4.7109375" style="37" customWidth="1"/>
    <col min="12572" max="12800" width="9.140625" style="37"/>
    <col min="12801" max="12801" width="3.42578125" style="37" customWidth="1"/>
    <col min="12802" max="12802" width="16.5703125" style="37" customWidth="1"/>
    <col min="12803" max="12803" width="4.7109375" style="37" customWidth="1"/>
    <col min="12804" max="12804" width="4.5703125" style="37" customWidth="1"/>
    <col min="12805" max="12805" width="16.85546875" style="37" customWidth="1"/>
    <col min="12806" max="12806" width="4.7109375" style="37" customWidth="1"/>
    <col min="12807" max="12807" width="5.28515625" style="37" customWidth="1"/>
    <col min="12808" max="12808" width="16.7109375" style="37" customWidth="1"/>
    <col min="12809" max="12809" width="4.7109375" style="37" customWidth="1"/>
    <col min="12810" max="12810" width="5.42578125" style="37" customWidth="1"/>
    <col min="12811" max="12811" width="16.7109375" style="37" customWidth="1"/>
    <col min="12812" max="12813" width="4.7109375" style="37" customWidth="1"/>
    <col min="12814" max="12814" width="16.7109375" style="37" customWidth="1"/>
    <col min="12815" max="12815" width="4.7109375" style="37" customWidth="1"/>
    <col min="12816" max="12816" width="2.85546875" style="37" customWidth="1"/>
    <col min="12817" max="12817" width="4.28515625" style="37" customWidth="1"/>
    <col min="12818" max="12818" width="17.140625" style="37" customWidth="1"/>
    <col min="12819" max="12819" width="4.7109375" style="37" customWidth="1"/>
    <col min="12820" max="12820" width="3" style="37" customWidth="1"/>
    <col min="12821" max="12821" width="2.42578125" style="37" customWidth="1"/>
    <col min="12822" max="12822" width="2.28515625" style="37" customWidth="1"/>
    <col min="12823" max="12823" width="20.7109375" style="37" customWidth="1"/>
    <col min="12824" max="12824" width="4.7109375" style="37" customWidth="1"/>
    <col min="12825" max="12825" width="2.85546875" style="37" customWidth="1"/>
    <col min="12826" max="12826" width="33.28515625" style="37" customWidth="1"/>
    <col min="12827" max="12827" width="4.7109375" style="37" customWidth="1"/>
    <col min="12828" max="13056" width="9.140625" style="37"/>
    <col min="13057" max="13057" width="3.42578125" style="37" customWidth="1"/>
    <col min="13058" max="13058" width="16.5703125" style="37" customWidth="1"/>
    <col min="13059" max="13059" width="4.7109375" style="37" customWidth="1"/>
    <col min="13060" max="13060" width="4.5703125" style="37" customWidth="1"/>
    <col min="13061" max="13061" width="16.85546875" style="37" customWidth="1"/>
    <col min="13062" max="13062" width="4.7109375" style="37" customWidth="1"/>
    <col min="13063" max="13063" width="5.28515625" style="37" customWidth="1"/>
    <col min="13064" max="13064" width="16.7109375" style="37" customWidth="1"/>
    <col min="13065" max="13065" width="4.7109375" style="37" customWidth="1"/>
    <col min="13066" max="13066" width="5.42578125" style="37" customWidth="1"/>
    <col min="13067" max="13067" width="16.7109375" style="37" customWidth="1"/>
    <col min="13068" max="13069" width="4.7109375" style="37" customWidth="1"/>
    <col min="13070" max="13070" width="16.7109375" style="37" customWidth="1"/>
    <col min="13071" max="13071" width="4.7109375" style="37" customWidth="1"/>
    <col min="13072" max="13072" width="2.85546875" style="37" customWidth="1"/>
    <col min="13073" max="13073" width="4.28515625" style="37" customWidth="1"/>
    <col min="13074" max="13074" width="17.140625" style="37" customWidth="1"/>
    <col min="13075" max="13075" width="4.7109375" style="37" customWidth="1"/>
    <col min="13076" max="13076" width="3" style="37" customWidth="1"/>
    <col min="13077" max="13077" width="2.42578125" style="37" customWidth="1"/>
    <col min="13078" max="13078" width="2.28515625" style="37" customWidth="1"/>
    <col min="13079" max="13079" width="20.7109375" style="37" customWidth="1"/>
    <col min="13080" max="13080" width="4.7109375" style="37" customWidth="1"/>
    <col min="13081" max="13081" width="2.85546875" style="37" customWidth="1"/>
    <col min="13082" max="13082" width="33.28515625" style="37" customWidth="1"/>
    <col min="13083" max="13083" width="4.7109375" style="37" customWidth="1"/>
    <col min="13084" max="13312" width="9.140625" style="37"/>
    <col min="13313" max="13313" width="3.42578125" style="37" customWidth="1"/>
    <col min="13314" max="13314" width="16.5703125" style="37" customWidth="1"/>
    <col min="13315" max="13315" width="4.7109375" style="37" customWidth="1"/>
    <col min="13316" max="13316" width="4.5703125" style="37" customWidth="1"/>
    <col min="13317" max="13317" width="16.85546875" style="37" customWidth="1"/>
    <col min="13318" max="13318" width="4.7109375" style="37" customWidth="1"/>
    <col min="13319" max="13319" width="5.28515625" style="37" customWidth="1"/>
    <col min="13320" max="13320" width="16.7109375" style="37" customWidth="1"/>
    <col min="13321" max="13321" width="4.7109375" style="37" customWidth="1"/>
    <col min="13322" max="13322" width="5.42578125" style="37" customWidth="1"/>
    <col min="13323" max="13323" width="16.7109375" style="37" customWidth="1"/>
    <col min="13324" max="13325" width="4.7109375" style="37" customWidth="1"/>
    <col min="13326" max="13326" width="16.7109375" style="37" customWidth="1"/>
    <col min="13327" max="13327" width="4.7109375" style="37" customWidth="1"/>
    <col min="13328" max="13328" width="2.85546875" style="37" customWidth="1"/>
    <col min="13329" max="13329" width="4.28515625" style="37" customWidth="1"/>
    <col min="13330" max="13330" width="17.140625" style="37" customWidth="1"/>
    <col min="13331" max="13331" width="4.7109375" style="37" customWidth="1"/>
    <col min="13332" max="13332" width="3" style="37" customWidth="1"/>
    <col min="13333" max="13333" width="2.42578125" style="37" customWidth="1"/>
    <col min="13334" max="13334" width="2.28515625" style="37" customWidth="1"/>
    <col min="13335" max="13335" width="20.7109375" style="37" customWidth="1"/>
    <col min="13336" max="13336" width="4.7109375" style="37" customWidth="1"/>
    <col min="13337" max="13337" width="2.85546875" style="37" customWidth="1"/>
    <col min="13338" max="13338" width="33.28515625" style="37" customWidth="1"/>
    <col min="13339" max="13339" width="4.7109375" style="37" customWidth="1"/>
    <col min="13340" max="13568" width="9.140625" style="37"/>
    <col min="13569" max="13569" width="3.42578125" style="37" customWidth="1"/>
    <col min="13570" max="13570" width="16.5703125" style="37" customWidth="1"/>
    <col min="13571" max="13571" width="4.7109375" style="37" customWidth="1"/>
    <col min="13572" max="13572" width="4.5703125" style="37" customWidth="1"/>
    <col min="13573" max="13573" width="16.85546875" style="37" customWidth="1"/>
    <col min="13574" max="13574" width="4.7109375" style="37" customWidth="1"/>
    <col min="13575" max="13575" width="5.28515625" style="37" customWidth="1"/>
    <col min="13576" max="13576" width="16.7109375" style="37" customWidth="1"/>
    <col min="13577" max="13577" width="4.7109375" style="37" customWidth="1"/>
    <col min="13578" max="13578" width="5.42578125" style="37" customWidth="1"/>
    <col min="13579" max="13579" width="16.7109375" style="37" customWidth="1"/>
    <col min="13580" max="13581" width="4.7109375" style="37" customWidth="1"/>
    <col min="13582" max="13582" width="16.7109375" style="37" customWidth="1"/>
    <col min="13583" max="13583" width="4.7109375" style="37" customWidth="1"/>
    <col min="13584" max="13584" width="2.85546875" style="37" customWidth="1"/>
    <col min="13585" max="13585" width="4.28515625" style="37" customWidth="1"/>
    <col min="13586" max="13586" width="17.140625" style="37" customWidth="1"/>
    <col min="13587" max="13587" width="4.7109375" style="37" customWidth="1"/>
    <col min="13588" max="13588" width="3" style="37" customWidth="1"/>
    <col min="13589" max="13589" width="2.42578125" style="37" customWidth="1"/>
    <col min="13590" max="13590" width="2.28515625" style="37" customWidth="1"/>
    <col min="13591" max="13591" width="20.7109375" style="37" customWidth="1"/>
    <col min="13592" max="13592" width="4.7109375" style="37" customWidth="1"/>
    <col min="13593" max="13593" width="2.85546875" style="37" customWidth="1"/>
    <col min="13594" max="13594" width="33.28515625" style="37" customWidth="1"/>
    <col min="13595" max="13595" width="4.7109375" style="37" customWidth="1"/>
    <col min="13596" max="13824" width="9.140625" style="37"/>
    <col min="13825" max="13825" width="3.42578125" style="37" customWidth="1"/>
    <col min="13826" max="13826" width="16.5703125" style="37" customWidth="1"/>
    <col min="13827" max="13827" width="4.7109375" style="37" customWidth="1"/>
    <col min="13828" max="13828" width="4.5703125" style="37" customWidth="1"/>
    <col min="13829" max="13829" width="16.85546875" style="37" customWidth="1"/>
    <col min="13830" max="13830" width="4.7109375" style="37" customWidth="1"/>
    <col min="13831" max="13831" width="5.28515625" style="37" customWidth="1"/>
    <col min="13832" max="13832" width="16.7109375" style="37" customWidth="1"/>
    <col min="13833" max="13833" width="4.7109375" style="37" customWidth="1"/>
    <col min="13834" max="13834" width="5.42578125" style="37" customWidth="1"/>
    <col min="13835" max="13835" width="16.7109375" style="37" customWidth="1"/>
    <col min="13836" max="13837" width="4.7109375" style="37" customWidth="1"/>
    <col min="13838" max="13838" width="16.7109375" style="37" customWidth="1"/>
    <col min="13839" max="13839" width="4.7109375" style="37" customWidth="1"/>
    <col min="13840" max="13840" width="2.85546875" style="37" customWidth="1"/>
    <col min="13841" max="13841" width="4.28515625" style="37" customWidth="1"/>
    <col min="13842" max="13842" width="17.140625" style="37" customWidth="1"/>
    <col min="13843" max="13843" width="4.7109375" style="37" customWidth="1"/>
    <col min="13844" max="13844" width="3" style="37" customWidth="1"/>
    <col min="13845" max="13845" width="2.42578125" style="37" customWidth="1"/>
    <col min="13846" max="13846" width="2.28515625" style="37" customWidth="1"/>
    <col min="13847" max="13847" width="20.7109375" style="37" customWidth="1"/>
    <col min="13848" max="13848" width="4.7109375" style="37" customWidth="1"/>
    <col min="13849" max="13849" width="2.85546875" style="37" customWidth="1"/>
    <col min="13850" max="13850" width="33.28515625" style="37" customWidth="1"/>
    <col min="13851" max="13851" width="4.7109375" style="37" customWidth="1"/>
    <col min="13852" max="14080" width="9.140625" style="37"/>
    <col min="14081" max="14081" width="3.42578125" style="37" customWidth="1"/>
    <col min="14082" max="14082" width="16.5703125" style="37" customWidth="1"/>
    <col min="14083" max="14083" width="4.7109375" style="37" customWidth="1"/>
    <col min="14084" max="14084" width="4.5703125" style="37" customWidth="1"/>
    <col min="14085" max="14085" width="16.85546875" style="37" customWidth="1"/>
    <col min="14086" max="14086" width="4.7109375" style="37" customWidth="1"/>
    <col min="14087" max="14087" width="5.28515625" style="37" customWidth="1"/>
    <col min="14088" max="14088" width="16.7109375" style="37" customWidth="1"/>
    <col min="14089" max="14089" width="4.7109375" style="37" customWidth="1"/>
    <col min="14090" max="14090" width="5.42578125" style="37" customWidth="1"/>
    <col min="14091" max="14091" width="16.7109375" style="37" customWidth="1"/>
    <col min="14092" max="14093" width="4.7109375" style="37" customWidth="1"/>
    <col min="14094" max="14094" width="16.7109375" style="37" customWidth="1"/>
    <col min="14095" max="14095" width="4.7109375" style="37" customWidth="1"/>
    <col min="14096" max="14096" width="2.85546875" style="37" customWidth="1"/>
    <col min="14097" max="14097" width="4.28515625" style="37" customWidth="1"/>
    <col min="14098" max="14098" width="17.140625" style="37" customWidth="1"/>
    <col min="14099" max="14099" width="4.7109375" style="37" customWidth="1"/>
    <col min="14100" max="14100" width="3" style="37" customWidth="1"/>
    <col min="14101" max="14101" width="2.42578125" style="37" customWidth="1"/>
    <col min="14102" max="14102" width="2.28515625" style="37" customWidth="1"/>
    <col min="14103" max="14103" width="20.7109375" style="37" customWidth="1"/>
    <col min="14104" max="14104" width="4.7109375" style="37" customWidth="1"/>
    <col min="14105" max="14105" width="2.85546875" style="37" customWidth="1"/>
    <col min="14106" max="14106" width="33.28515625" style="37" customWidth="1"/>
    <col min="14107" max="14107" width="4.7109375" style="37" customWidth="1"/>
    <col min="14108" max="14336" width="9.140625" style="37"/>
    <col min="14337" max="14337" width="3.42578125" style="37" customWidth="1"/>
    <col min="14338" max="14338" width="16.5703125" style="37" customWidth="1"/>
    <col min="14339" max="14339" width="4.7109375" style="37" customWidth="1"/>
    <col min="14340" max="14340" width="4.5703125" style="37" customWidth="1"/>
    <col min="14341" max="14341" width="16.85546875" style="37" customWidth="1"/>
    <col min="14342" max="14342" width="4.7109375" style="37" customWidth="1"/>
    <col min="14343" max="14343" width="5.28515625" style="37" customWidth="1"/>
    <col min="14344" max="14344" width="16.7109375" style="37" customWidth="1"/>
    <col min="14345" max="14345" width="4.7109375" style="37" customWidth="1"/>
    <col min="14346" max="14346" width="5.42578125" style="37" customWidth="1"/>
    <col min="14347" max="14347" width="16.7109375" style="37" customWidth="1"/>
    <col min="14348" max="14349" width="4.7109375" style="37" customWidth="1"/>
    <col min="14350" max="14350" width="16.7109375" style="37" customWidth="1"/>
    <col min="14351" max="14351" width="4.7109375" style="37" customWidth="1"/>
    <col min="14352" max="14352" width="2.85546875" style="37" customWidth="1"/>
    <col min="14353" max="14353" width="4.28515625" style="37" customWidth="1"/>
    <col min="14354" max="14354" width="17.140625" style="37" customWidth="1"/>
    <col min="14355" max="14355" width="4.7109375" style="37" customWidth="1"/>
    <col min="14356" max="14356" width="3" style="37" customWidth="1"/>
    <col min="14357" max="14357" width="2.42578125" style="37" customWidth="1"/>
    <col min="14358" max="14358" width="2.28515625" style="37" customWidth="1"/>
    <col min="14359" max="14359" width="20.7109375" style="37" customWidth="1"/>
    <col min="14360" max="14360" width="4.7109375" style="37" customWidth="1"/>
    <col min="14361" max="14361" width="2.85546875" style="37" customWidth="1"/>
    <col min="14362" max="14362" width="33.28515625" style="37" customWidth="1"/>
    <col min="14363" max="14363" width="4.7109375" style="37" customWidth="1"/>
    <col min="14364" max="14592" width="9.140625" style="37"/>
    <col min="14593" max="14593" width="3.42578125" style="37" customWidth="1"/>
    <col min="14594" max="14594" width="16.5703125" style="37" customWidth="1"/>
    <col min="14595" max="14595" width="4.7109375" style="37" customWidth="1"/>
    <col min="14596" max="14596" width="4.5703125" style="37" customWidth="1"/>
    <col min="14597" max="14597" width="16.85546875" style="37" customWidth="1"/>
    <col min="14598" max="14598" width="4.7109375" style="37" customWidth="1"/>
    <col min="14599" max="14599" width="5.28515625" style="37" customWidth="1"/>
    <col min="14600" max="14600" width="16.7109375" style="37" customWidth="1"/>
    <col min="14601" max="14601" width="4.7109375" style="37" customWidth="1"/>
    <col min="14602" max="14602" width="5.42578125" style="37" customWidth="1"/>
    <col min="14603" max="14603" width="16.7109375" style="37" customWidth="1"/>
    <col min="14604" max="14605" width="4.7109375" style="37" customWidth="1"/>
    <col min="14606" max="14606" width="16.7109375" style="37" customWidth="1"/>
    <col min="14607" max="14607" width="4.7109375" style="37" customWidth="1"/>
    <col min="14608" max="14608" width="2.85546875" style="37" customWidth="1"/>
    <col min="14609" max="14609" width="4.28515625" style="37" customWidth="1"/>
    <col min="14610" max="14610" width="17.140625" style="37" customWidth="1"/>
    <col min="14611" max="14611" width="4.7109375" style="37" customWidth="1"/>
    <col min="14612" max="14612" width="3" style="37" customWidth="1"/>
    <col min="14613" max="14613" width="2.42578125" style="37" customWidth="1"/>
    <col min="14614" max="14614" width="2.28515625" style="37" customWidth="1"/>
    <col min="14615" max="14615" width="20.7109375" style="37" customWidth="1"/>
    <col min="14616" max="14616" width="4.7109375" style="37" customWidth="1"/>
    <col min="14617" max="14617" width="2.85546875" style="37" customWidth="1"/>
    <col min="14618" max="14618" width="33.28515625" style="37" customWidth="1"/>
    <col min="14619" max="14619" width="4.7109375" style="37" customWidth="1"/>
    <col min="14620" max="14848" width="9.140625" style="37"/>
    <col min="14849" max="14849" width="3.42578125" style="37" customWidth="1"/>
    <col min="14850" max="14850" width="16.5703125" style="37" customWidth="1"/>
    <col min="14851" max="14851" width="4.7109375" style="37" customWidth="1"/>
    <col min="14852" max="14852" width="4.5703125" style="37" customWidth="1"/>
    <col min="14853" max="14853" width="16.85546875" style="37" customWidth="1"/>
    <col min="14854" max="14854" width="4.7109375" style="37" customWidth="1"/>
    <col min="14855" max="14855" width="5.28515625" style="37" customWidth="1"/>
    <col min="14856" max="14856" width="16.7109375" style="37" customWidth="1"/>
    <col min="14857" max="14857" width="4.7109375" style="37" customWidth="1"/>
    <col min="14858" max="14858" width="5.42578125" style="37" customWidth="1"/>
    <col min="14859" max="14859" width="16.7109375" style="37" customWidth="1"/>
    <col min="14860" max="14861" width="4.7109375" style="37" customWidth="1"/>
    <col min="14862" max="14862" width="16.7109375" style="37" customWidth="1"/>
    <col min="14863" max="14863" width="4.7109375" style="37" customWidth="1"/>
    <col min="14864" max="14864" width="2.85546875" style="37" customWidth="1"/>
    <col min="14865" max="14865" width="4.28515625" style="37" customWidth="1"/>
    <col min="14866" max="14866" width="17.140625" style="37" customWidth="1"/>
    <col min="14867" max="14867" width="4.7109375" style="37" customWidth="1"/>
    <col min="14868" max="14868" width="3" style="37" customWidth="1"/>
    <col min="14869" max="14869" width="2.42578125" style="37" customWidth="1"/>
    <col min="14870" max="14870" width="2.28515625" style="37" customWidth="1"/>
    <col min="14871" max="14871" width="20.7109375" style="37" customWidth="1"/>
    <col min="14872" max="14872" width="4.7109375" style="37" customWidth="1"/>
    <col min="14873" max="14873" width="2.85546875" style="37" customWidth="1"/>
    <col min="14874" max="14874" width="33.28515625" style="37" customWidth="1"/>
    <col min="14875" max="14875" width="4.7109375" style="37" customWidth="1"/>
    <col min="14876" max="15104" width="9.140625" style="37"/>
    <col min="15105" max="15105" width="3.42578125" style="37" customWidth="1"/>
    <col min="15106" max="15106" width="16.5703125" style="37" customWidth="1"/>
    <col min="15107" max="15107" width="4.7109375" style="37" customWidth="1"/>
    <col min="15108" max="15108" width="4.5703125" style="37" customWidth="1"/>
    <col min="15109" max="15109" width="16.85546875" style="37" customWidth="1"/>
    <col min="15110" max="15110" width="4.7109375" style="37" customWidth="1"/>
    <col min="15111" max="15111" width="5.28515625" style="37" customWidth="1"/>
    <col min="15112" max="15112" width="16.7109375" style="37" customWidth="1"/>
    <col min="15113" max="15113" width="4.7109375" style="37" customWidth="1"/>
    <col min="15114" max="15114" width="5.42578125" style="37" customWidth="1"/>
    <col min="15115" max="15115" width="16.7109375" style="37" customWidth="1"/>
    <col min="15116" max="15117" width="4.7109375" style="37" customWidth="1"/>
    <col min="15118" max="15118" width="16.7109375" style="37" customWidth="1"/>
    <col min="15119" max="15119" width="4.7109375" style="37" customWidth="1"/>
    <col min="15120" max="15120" width="2.85546875" style="37" customWidth="1"/>
    <col min="15121" max="15121" width="4.28515625" style="37" customWidth="1"/>
    <col min="15122" max="15122" width="17.140625" style="37" customWidth="1"/>
    <col min="15123" max="15123" width="4.7109375" style="37" customWidth="1"/>
    <col min="15124" max="15124" width="3" style="37" customWidth="1"/>
    <col min="15125" max="15125" width="2.42578125" style="37" customWidth="1"/>
    <col min="15126" max="15126" width="2.28515625" style="37" customWidth="1"/>
    <col min="15127" max="15127" width="20.7109375" style="37" customWidth="1"/>
    <col min="15128" max="15128" width="4.7109375" style="37" customWidth="1"/>
    <col min="15129" max="15129" width="2.85546875" style="37" customWidth="1"/>
    <col min="15130" max="15130" width="33.28515625" style="37" customWidth="1"/>
    <col min="15131" max="15131" width="4.7109375" style="37" customWidth="1"/>
    <col min="15132" max="15360" width="9.140625" style="37"/>
    <col min="15361" max="15361" width="3.42578125" style="37" customWidth="1"/>
    <col min="15362" max="15362" width="16.5703125" style="37" customWidth="1"/>
    <col min="15363" max="15363" width="4.7109375" style="37" customWidth="1"/>
    <col min="15364" max="15364" width="4.5703125" style="37" customWidth="1"/>
    <col min="15365" max="15365" width="16.85546875" style="37" customWidth="1"/>
    <col min="15366" max="15366" width="4.7109375" style="37" customWidth="1"/>
    <col min="15367" max="15367" width="5.28515625" style="37" customWidth="1"/>
    <col min="15368" max="15368" width="16.7109375" style="37" customWidth="1"/>
    <col min="15369" max="15369" width="4.7109375" style="37" customWidth="1"/>
    <col min="15370" max="15370" width="5.42578125" style="37" customWidth="1"/>
    <col min="15371" max="15371" width="16.7109375" style="37" customWidth="1"/>
    <col min="15372" max="15373" width="4.7109375" style="37" customWidth="1"/>
    <col min="15374" max="15374" width="16.7109375" style="37" customWidth="1"/>
    <col min="15375" max="15375" width="4.7109375" style="37" customWidth="1"/>
    <col min="15376" max="15376" width="2.85546875" style="37" customWidth="1"/>
    <col min="15377" max="15377" width="4.28515625" style="37" customWidth="1"/>
    <col min="15378" max="15378" width="17.140625" style="37" customWidth="1"/>
    <col min="15379" max="15379" width="4.7109375" style="37" customWidth="1"/>
    <col min="15380" max="15380" width="3" style="37" customWidth="1"/>
    <col min="15381" max="15381" width="2.42578125" style="37" customWidth="1"/>
    <col min="15382" max="15382" width="2.28515625" style="37" customWidth="1"/>
    <col min="15383" max="15383" width="20.7109375" style="37" customWidth="1"/>
    <col min="15384" max="15384" width="4.7109375" style="37" customWidth="1"/>
    <col min="15385" max="15385" width="2.85546875" style="37" customWidth="1"/>
    <col min="15386" max="15386" width="33.28515625" style="37" customWidth="1"/>
    <col min="15387" max="15387" width="4.7109375" style="37" customWidth="1"/>
    <col min="15388" max="15616" width="9.140625" style="37"/>
    <col min="15617" max="15617" width="3.42578125" style="37" customWidth="1"/>
    <col min="15618" max="15618" width="16.5703125" style="37" customWidth="1"/>
    <col min="15619" max="15619" width="4.7109375" style="37" customWidth="1"/>
    <col min="15620" max="15620" width="4.5703125" style="37" customWidth="1"/>
    <col min="15621" max="15621" width="16.85546875" style="37" customWidth="1"/>
    <col min="15622" max="15622" width="4.7109375" style="37" customWidth="1"/>
    <col min="15623" max="15623" width="5.28515625" style="37" customWidth="1"/>
    <col min="15624" max="15624" width="16.7109375" style="37" customWidth="1"/>
    <col min="15625" max="15625" width="4.7109375" style="37" customWidth="1"/>
    <col min="15626" max="15626" width="5.42578125" style="37" customWidth="1"/>
    <col min="15627" max="15627" width="16.7109375" style="37" customWidth="1"/>
    <col min="15628" max="15629" width="4.7109375" style="37" customWidth="1"/>
    <col min="15630" max="15630" width="16.7109375" style="37" customWidth="1"/>
    <col min="15631" max="15631" width="4.7109375" style="37" customWidth="1"/>
    <col min="15632" max="15632" width="2.85546875" style="37" customWidth="1"/>
    <col min="15633" max="15633" width="4.28515625" style="37" customWidth="1"/>
    <col min="15634" max="15634" width="17.140625" style="37" customWidth="1"/>
    <col min="15635" max="15635" width="4.7109375" style="37" customWidth="1"/>
    <col min="15636" max="15636" width="3" style="37" customWidth="1"/>
    <col min="15637" max="15637" width="2.42578125" style="37" customWidth="1"/>
    <col min="15638" max="15638" width="2.28515625" style="37" customWidth="1"/>
    <col min="15639" max="15639" width="20.7109375" style="37" customWidth="1"/>
    <col min="15640" max="15640" width="4.7109375" style="37" customWidth="1"/>
    <col min="15641" max="15641" width="2.85546875" style="37" customWidth="1"/>
    <col min="15642" max="15642" width="33.28515625" style="37" customWidth="1"/>
    <col min="15643" max="15643" width="4.7109375" style="37" customWidth="1"/>
    <col min="15644" max="15872" width="9.140625" style="37"/>
    <col min="15873" max="15873" width="3.42578125" style="37" customWidth="1"/>
    <col min="15874" max="15874" width="16.5703125" style="37" customWidth="1"/>
    <col min="15875" max="15875" width="4.7109375" style="37" customWidth="1"/>
    <col min="15876" max="15876" width="4.5703125" style="37" customWidth="1"/>
    <col min="15877" max="15877" width="16.85546875" style="37" customWidth="1"/>
    <col min="15878" max="15878" width="4.7109375" style="37" customWidth="1"/>
    <col min="15879" max="15879" width="5.28515625" style="37" customWidth="1"/>
    <col min="15880" max="15880" width="16.7109375" style="37" customWidth="1"/>
    <col min="15881" max="15881" width="4.7109375" style="37" customWidth="1"/>
    <col min="15882" max="15882" width="5.42578125" style="37" customWidth="1"/>
    <col min="15883" max="15883" width="16.7109375" style="37" customWidth="1"/>
    <col min="15884" max="15885" width="4.7109375" style="37" customWidth="1"/>
    <col min="15886" max="15886" width="16.7109375" style="37" customWidth="1"/>
    <col min="15887" max="15887" width="4.7109375" style="37" customWidth="1"/>
    <col min="15888" max="15888" width="2.85546875" style="37" customWidth="1"/>
    <col min="15889" max="15889" width="4.28515625" style="37" customWidth="1"/>
    <col min="15890" max="15890" width="17.140625" style="37" customWidth="1"/>
    <col min="15891" max="15891" width="4.7109375" style="37" customWidth="1"/>
    <col min="15892" max="15892" width="3" style="37" customWidth="1"/>
    <col min="15893" max="15893" width="2.42578125" style="37" customWidth="1"/>
    <col min="15894" max="15894" width="2.28515625" style="37" customWidth="1"/>
    <col min="15895" max="15895" width="20.7109375" style="37" customWidth="1"/>
    <col min="15896" max="15896" width="4.7109375" style="37" customWidth="1"/>
    <col min="15897" max="15897" width="2.85546875" style="37" customWidth="1"/>
    <col min="15898" max="15898" width="33.28515625" style="37" customWidth="1"/>
    <col min="15899" max="15899" width="4.7109375" style="37" customWidth="1"/>
    <col min="15900" max="16128" width="9.140625" style="37"/>
    <col min="16129" max="16129" width="3.42578125" style="37" customWidth="1"/>
    <col min="16130" max="16130" width="16.5703125" style="37" customWidth="1"/>
    <col min="16131" max="16131" width="4.7109375" style="37" customWidth="1"/>
    <col min="16132" max="16132" width="4.5703125" style="37" customWidth="1"/>
    <col min="16133" max="16133" width="16.85546875" style="37" customWidth="1"/>
    <col min="16134" max="16134" width="4.7109375" style="37" customWidth="1"/>
    <col min="16135" max="16135" width="5.28515625" style="37" customWidth="1"/>
    <col min="16136" max="16136" width="16.7109375" style="37" customWidth="1"/>
    <col min="16137" max="16137" width="4.7109375" style="37" customWidth="1"/>
    <col min="16138" max="16138" width="5.42578125" style="37" customWidth="1"/>
    <col min="16139" max="16139" width="16.7109375" style="37" customWidth="1"/>
    <col min="16140" max="16141" width="4.7109375" style="37" customWidth="1"/>
    <col min="16142" max="16142" width="16.7109375" style="37" customWidth="1"/>
    <col min="16143" max="16143" width="4.7109375" style="37" customWidth="1"/>
    <col min="16144" max="16144" width="2.85546875" style="37" customWidth="1"/>
    <col min="16145" max="16145" width="4.28515625" style="37" customWidth="1"/>
    <col min="16146" max="16146" width="17.140625" style="37" customWidth="1"/>
    <col min="16147" max="16147" width="4.7109375" style="37" customWidth="1"/>
    <col min="16148" max="16148" width="3" style="37" customWidth="1"/>
    <col min="16149" max="16149" width="2.42578125" style="37" customWidth="1"/>
    <col min="16150" max="16150" width="2.28515625" style="37" customWidth="1"/>
    <col min="16151" max="16151" width="20.7109375" style="37" customWidth="1"/>
    <col min="16152" max="16152" width="4.7109375" style="37" customWidth="1"/>
    <col min="16153" max="16153" width="2.85546875" style="37" customWidth="1"/>
    <col min="16154" max="16154" width="33.28515625" style="37" customWidth="1"/>
    <col min="16155" max="16155" width="4.7109375" style="37" customWidth="1"/>
    <col min="16156" max="16384" width="9.140625" style="37"/>
  </cols>
  <sheetData>
    <row r="1" spans="2:28" ht="21.75" customHeight="1" x14ac:dyDescent="0.2">
      <c r="B1" s="390" t="s">
        <v>191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3"/>
      <c r="X1" s="34"/>
      <c r="Y1" s="35"/>
      <c r="Z1" s="36"/>
      <c r="AA1" s="35"/>
    </row>
    <row r="2" spans="2:28" s="40" customFormat="1" ht="11.25" customHeight="1" x14ac:dyDescent="0.3">
      <c r="B2" s="390" t="s">
        <v>192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8"/>
      <c r="Y2" s="39"/>
      <c r="Z2" s="39"/>
      <c r="AA2" s="39"/>
    </row>
    <row r="3" spans="2:28" ht="13.5" customHeight="1" thickBot="1" x14ac:dyDescent="0.25">
      <c r="B3" s="41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42"/>
      <c r="S3" s="35"/>
      <c r="T3" s="35"/>
      <c r="U3" s="35"/>
      <c r="V3" s="35"/>
      <c r="W3" s="42"/>
      <c r="X3" s="34"/>
      <c r="Y3" s="35"/>
      <c r="Z3" s="35"/>
      <c r="AA3" s="35"/>
    </row>
    <row r="4" spans="2:28" ht="19.5" customHeight="1" thickTop="1" thickBot="1" x14ac:dyDescent="0.25">
      <c r="B4" s="43" t="s">
        <v>6</v>
      </c>
      <c r="C4" s="44"/>
      <c r="D4" s="44"/>
      <c r="E4" s="43" t="s">
        <v>24</v>
      </c>
      <c r="F4" s="44"/>
      <c r="G4" s="44"/>
      <c r="H4" s="43" t="s">
        <v>41</v>
      </c>
      <c r="I4" s="44"/>
      <c r="J4" s="44"/>
      <c r="K4" s="43" t="s">
        <v>59</v>
      </c>
      <c r="L4" s="44"/>
      <c r="M4" s="44"/>
      <c r="N4" s="43" t="s">
        <v>74</v>
      </c>
      <c r="O4" s="44"/>
      <c r="P4" s="44"/>
      <c r="Q4" s="44"/>
      <c r="R4" s="45" t="s">
        <v>90</v>
      </c>
      <c r="S4" s="44"/>
      <c r="T4" s="44"/>
      <c r="U4" s="44"/>
      <c r="V4" s="44"/>
      <c r="W4" s="45" t="s">
        <v>120</v>
      </c>
      <c r="X4" s="46"/>
      <c r="Y4" s="44"/>
      <c r="Z4" s="391" t="s">
        <v>193</v>
      </c>
      <c r="AA4" s="392"/>
      <c r="AB4" s="47"/>
    </row>
    <row r="5" spans="2:28" ht="12" customHeight="1" thickTop="1" x14ac:dyDescent="0.2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9"/>
      <c r="S5" s="48"/>
      <c r="T5" s="48"/>
      <c r="U5" s="48"/>
      <c r="V5" s="48"/>
      <c r="W5" s="49"/>
      <c r="X5" s="50"/>
      <c r="Y5" s="48"/>
      <c r="Z5" s="48"/>
      <c r="AA5" s="48"/>
    </row>
    <row r="6" spans="2:28" s="55" customFormat="1" ht="25.5" customHeight="1" x14ac:dyDescent="0.25">
      <c r="B6" s="51" t="s">
        <v>194</v>
      </c>
      <c r="C6" s="52">
        <v>3</v>
      </c>
      <c r="D6" s="53"/>
      <c r="E6" s="169"/>
      <c r="F6" s="169"/>
      <c r="G6" s="169"/>
      <c r="H6" s="169"/>
      <c r="I6" s="169"/>
      <c r="J6" s="169"/>
      <c r="K6" s="169"/>
      <c r="L6" s="169"/>
      <c r="M6" s="169"/>
      <c r="R6" s="56" t="s">
        <v>92</v>
      </c>
      <c r="S6" s="57">
        <v>3</v>
      </c>
      <c r="T6" s="169"/>
      <c r="U6" s="169"/>
      <c r="V6" s="169"/>
      <c r="W6" s="51" t="s">
        <v>195</v>
      </c>
      <c r="X6" s="57">
        <v>3</v>
      </c>
      <c r="Y6" s="169"/>
      <c r="Z6" s="169"/>
      <c r="AA6" s="169"/>
    </row>
    <row r="7" spans="2:28" s="55" customFormat="1" ht="8.25" customHeight="1" x14ac:dyDescent="0.25">
      <c r="B7" s="169"/>
      <c r="C7" s="169"/>
      <c r="D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46"/>
      <c r="R7" s="58"/>
      <c r="S7" s="169"/>
      <c r="T7" s="169"/>
      <c r="U7" s="169"/>
      <c r="V7" s="169"/>
      <c r="W7" s="59"/>
      <c r="Y7" s="169"/>
      <c r="Z7" s="169"/>
      <c r="AA7" s="169"/>
    </row>
    <row r="8" spans="2:28" s="55" customFormat="1" ht="20.100000000000001" customHeight="1" x14ac:dyDescent="0.25">
      <c r="B8" s="58"/>
      <c r="C8" s="393"/>
      <c r="E8" s="57" t="s">
        <v>26</v>
      </c>
      <c r="F8" s="57">
        <v>2</v>
      </c>
      <c r="G8" s="169"/>
      <c r="H8" s="57" t="s">
        <v>43</v>
      </c>
      <c r="I8" s="57">
        <v>3</v>
      </c>
      <c r="J8" s="169"/>
      <c r="K8" s="52" t="s">
        <v>196</v>
      </c>
      <c r="L8" s="52">
        <v>3</v>
      </c>
      <c r="M8" s="169"/>
      <c r="N8" s="57" t="s">
        <v>76</v>
      </c>
      <c r="O8" s="57">
        <v>2</v>
      </c>
      <c r="P8" s="169"/>
      <c r="Q8" s="169"/>
      <c r="R8" s="60" t="s">
        <v>197</v>
      </c>
      <c r="S8" s="61">
        <v>3</v>
      </c>
      <c r="T8" s="169"/>
      <c r="U8" s="169"/>
      <c r="V8" s="169"/>
      <c r="W8" s="60" t="s">
        <v>132</v>
      </c>
      <c r="X8" s="61">
        <v>2</v>
      </c>
      <c r="Y8" s="169"/>
      <c r="Z8" s="169"/>
      <c r="AA8" s="169"/>
    </row>
    <row r="9" spans="2:28" s="55" customFormat="1" ht="15.75" customHeight="1" x14ac:dyDescent="0.25">
      <c r="B9" s="58"/>
      <c r="C9" s="393"/>
      <c r="E9" s="169"/>
      <c r="G9" s="169"/>
      <c r="H9" s="169"/>
      <c r="I9" s="169"/>
      <c r="J9" s="169"/>
      <c r="M9" s="169"/>
      <c r="N9" s="169"/>
      <c r="O9" s="169"/>
      <c r="P9" s="169"/>
      <c r="Q9" s="169"/>
      <c r="R9" s="62"/>
      <c r="S9" s="63"/>
      <c r="T9" s="169"/>
      <c r="U9" s="169"/>
      <c r="V9" s="169"/>
      <c r="W9" s="64"/>
      <c r="X9" s="65"/>
      <c r="Y9" s="169"/>
      <c r="Z9" s="169"/>
      <c r="AA9" s="169"/>
    </row>
    <row r="10" spans="2:28" s="55" customFormat="1" ht="19.5" customHeight="1" x14ac:dyDescent="0.25">
      <c r="D10" s="169"/>
      <c r="E10" s="169"/>
      <c r="P10" s="63"/>
      <c r="Q10" s="169"/>
      <c r="R10" s="62"/>
      <c r="S10" s="63"/>
      <c r="T10" s="169"/>
      <c r="U10" s="169"/>
      <c r="V10" s="169"/>
      <c r="W10" s="66" t="s">
        <v>198</v>
      </c>
      <c r="X10" s="61">
        <v>3</v>
      </c>
      <c r="Y10" s="169"/>
      <c r="Z10" s="169"/>
      <c r="AA10" s="169"/>
    </row>
    <row r="11" spans="2:28" s="55" customFormat="1" ht="8.25" customHeight="1" x14ac:dyDescent="0.25">
      <c r="R11" s="59"/>
      <c r="W11" s="59"/>
    </row>
    <row r="12" spans="2:28" s="55" customFormat="1" ht="20.100000000000001" customHeight="1" x14ac:dyDescent="0.25"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M12" s="169"/>
      <c r="N12" s="169"/>
      <c r="O12" s="169"/>
      <c r="P12" s="169"/>
      <c r="Q12" s="169"/>
      <c r="R12" s="58"/>
      <c r="S12" s="169"/>
      <c r="T12" s="169"/>
      <c r="U12" s="169"/>
      <c r="V12" s="169"/>
      <c r="W12" s="51" t="s">
        <v>199</v>
      </c>
      <c r="X12" s="52">
        <v>3</v>
      </c>
      <c r="Y12" s="169"/>
      <c r="Z12" s="169"/>
      <c r="AA12" s="169"/>
    </row>
    <row r="13" spans="2:28" s="55" customFormat="1" ht="9.75" customHeight="1" x14ac:dyDescent="0.25">
      <c r="B13" s="169"/>
      <c r="C13" s="169"/>
      <c r="D13" s="169"/>
      <c r="E13" s="169"/>
      <c r="F13" s="169"/>
      <c r="G13" s="169"/>
      <c r="H13" s="169"/>
      <c r="I13" s="169"/>
      <c r="K13" s="169"/>
      <c r="L13" s="169"/>
      <c r="M13" s="169"/>
      <c r="R13" s="59"/>
      <c r="T13" s="67"/>
      <c r="W13" s="59"/>
      <c r="Y13" s="169"/>
      <c r="Z13" s="169"/>
      <c r="AA13" s="169"/>
    </row>
    <row r="14" spans="2:28" s="55" customFormat="1" ht="19.5" customHeight="1" x14ac:dyDescent="0.25">
      <c r="B14" s="166" t="s">
        <v>200</v>
      </c>
      <c r="C14" s="394">
        <v>3</v>
      </c>
      <c r="D14" s="169"/>
      <c r="E14" s="51" t="s">
        <v>201</v>
      </c>
      <c r="F14" s="52">
        <v>3</v>
      </c>
      <c r="G14" s="169"/>
      <c r="H14" s="56" t="s">
        <v>202</v>
      </c>
      <c r="I14" s="57">
        <v>3</v>
      </c>
      <c r="J14" s="169"/>
      <c r="K14" s="51" t="s">
        <v>203</v>
      </c>
      <c r="L14" s="52">
        <v>3</v>
      </c>
      <c r="M14" s="169"/>
      <c r="N14" s="56" t="s">
        <v>204</v>
      </c>
      <c r="O14" s="57">
        <v>3</v>
      </c>
      <c r="P14" s="169"/>
      <c r="Q14" s="169"/>
      <c r="R14" s="51" t="s">
        <v>205</v>
      </c>
      <c r="S14" s="52">
        <v>3</v>
      </c>
      <c r="T14" s="169"/>
      <c r="U14" s="169"/>
      <c r="V14" s="169"/>
      <c r="W14" s="51" t="s">
        <v>206</v>
      </c>
      <c r="X14" s="52">
        <v>3</v>
      </c>
      <c r="Y14" s="169"/>
      <c r="Z14" s="169"/>
      <c r="AA14" s="169"/>
    </row>
    <row r="15" spans="2:28" s="55" customFormat="1" ht="15.75" customHeight="1" x14ac:dyDescent="0.25">
      <c r="B15" s="167" t="s">
        <v>207</v>
      </c>
      <c r="C15" s="395"/>
      <c r="D15" s="169"/>
      <c r="E15" s="56" t="s">
        <v>30</v>
      </c>
      <c r="F15" s="57">
        <v>2</v>
      </c>
      <c r="G15" s="169"/>
      <c r="H15" s="169"/>
      <c r="I15" s="169"/>
      <c r="J15" s="169"/>
      <c r="K15" s="56" t="s">
        <v>208</v>
      </c>
      <c r="L15" s="57">
        <v>2</v>
      </c>
      <c r="M15" s="169"/>
      <c r="N15" s="67"/>
      <c r="O15" s="67"/>
      <c r="P15" s="169"/>
      <c r="Q15" s="169"/>
      <c r="R15" s="62"/>
      <c r="S15" s="63"/>
      <c r="T15" s="169"/>
      <c r="U15" s="169"/>
      <c r="V15" s="169"/>
      <c r="W15" s="64"/>
      <c r="X15" s="65"/>
      <c r="Y15" s="169"/>
      <c r="Z15" s="169"/>
      <c r="AA15" s="169"/>
    </row>
    <row r="16" spans="2:28" s="55" customFormat="1" ht="20.100000000000001" customHeight="1" x14ac:dyDescent="0.25">
      <c r="B16" s="169"/>
      <c r="C16" s="169"/>
      <c r="D16" s="169"/>
      <c r="G16" s="169"/>
      <c r="H16" s="169"/>
      <c r="I16" s="169"/>
      <c r="J16" s="169"/>
      <c r="M16" s="169"/>
      <c r="N16" s="67"/>
      <c r="O16" s="67"/>
      <c r="P16" s="169"/>
      <c r="Q16" s="169"/>
      <c r="R16" s="51" t="s">
        <v>209</v>
      </c>
      <c r="S16" s="52">
        <v>3</v>
      </c>
      <c r="T16" s="169"/>
      <c r="U16" s="169"/>
      <c r="V16" s="169"/>
      <c r="W16" s="70" t="s">
        <v>96</v>
      </c>
      <c r="X16" s="71">
        <v>3</v>
      </c>
      <c r="Y16" s="169"/>
      <c r="Z16" s="169"/>
      <c r="AA16" s="169"/>
    </row>
    <row r="17" spans="2:27" s="55" customFormat="1" ht="20.100000000000001" customHeight="1" x14ac:dyDescent="0.25">
      <c r="B17" s="72" t="s">
        <v>15</v>
      </c>
      <c r="C17" s="166">
        <v>2</v>
      </c>
      <c r="E17" s="51" t="s">
        <v>210</v>
      </c>
      <c r="F17" s="52">
        <v>2</v>
      </c>
      <c r="H17" s="169"/>
      <c r="I17" s="169"/>
      <c r="Q17" s="169"/>
      <c r="R17" s="73"/>
      <c r="S17" s="67"/>
      <c r="T17" s="67"/>
      <c r="U17" s="169"/>
      <c r="V17" s="169"/>
      <c r="W17" s="62"/>
      <c r="X17" s="63"/>
      <c r="Y17" s="169"/>
      <c r="Z17" s="169"/>
      <c r="AA17" s="169"/>
    </row>
    <row r="18" spans="2:27" s="55" customFormat="1" ht="20.100000000000001" customHeight="1" x14ac:dyDescent="0.25">
      <c r="B18" s="74"/>
      <c r="C18" s="75"/>
      <c r="H18" s="169"/>
      <c r="I18" s="169"/>
      <c r="K18" s="164" t="s">
        <v>211</v>
      </c>
      <c r="L18" s="386">
        <v>3</v>
      </c>
      <c r="M18" s="169"/>
      <c r="N18" s="77" t="s">
        <v>212</v>
      </c>
      <c r="O18" s="388">
        <v>3</v>
      </c>
      <c r="P18" s="169"/>
      <c r="Q18" s="169"/>
      <c r="R18" s="78" t="s">
        <v>213</v>
      </c>
      <c r="S18" s="79">
        <v>3</v>
      </c>
      <c r="T18" s="169"/>
      <c r="U18" s="169"/>
      <c r="V18" s="169"/>
      <c r="W18" s="78" t="s">
        <v>214</v>
      </c>
      <c r="X18" s="79">
        <v>3</v>
      </c>
      <c r="Y18" s="169"/>
      <c r="Z18" s="169"/>
      <c r="AA18" s="169"/>
    </row>
    <row r="19" spans="2:27" s="55" customFormat="1" ht="20.100000000000001" customHeight="1" x14ac:dyDescent="0.25">
      <c r="D19" s="169"/>
      <c r="G19" s="169"/>
      <c r="H19" s="169"/>
      <c r="I19" s="169"/>
      <c r="K19" s="165" t="s">
        <v>215</v>
      </c>
      <c r="L19" s="387"/>
      <c r="M19" s="169"/>
      <c r="N19" s="81" t="s">
        <v>216</v>
      </c>
      <c r="O19" s="389"/>
      <c r="P19" s="169"/>
      <c r="Q19" s="169"/>
      <c r="R19" s="62"/>
      <c r="S19" s="63"/>
      <c r="T19" s="63"/>
      <c r="U19" s="169"/>
      <c r="V19" s="169"/>
      <c r="W19" s="64"/>
      <c r="X19" s="65"/>
      <c r="Y19" s="169"/>
      <c r="Z19" s="169"/>
      <c r="AA19" s="169"/>
    </row>
    <row r="20" spans="2:27" s="55" customFormat="1" ht="20.100000000000001" customHeight="1" x14ac:dyDescent="0.25">
      <c r="R20" s="51" t="s">
        <v>217</v>
      </c>
      <c r="S20" s="52">
        <v>3</v>
      </c>
      <c r="W20" s="78" t="s">
        <v>218</v>
      </c>
      <c r="X20" s="79">
        <v>2</v>
      </c>
    </row>
    <row r="21" spans="2:27" s="55" customFormat="1" ht="8.25" customHeight="1" x14ac:dyDescent="0.25">
      <c r="E21" s="82" t="s">
        <v>219</v>
      </c>
      <c r="F21" s="388">
        <v>2</v>
      </c>
      <c r="R21" s="59"/>
      <c r="W21" s="59"/>
    </row>
    <row r="22" spans="2:27" s="55" customFormat="1" ht="19.5" customHeight="1" x14ac:dyDescent="0.25">
      <c r="B22" s="169"/>
      <c r="C22" s="169"/>
      <c r="D22" s="169"/>
      <c r="E22" s="83" t="s">
        <v>220</v>
      </c>
      <c r="F22" s="389"/>
      <c r="G22" s="169"/>
      <c r="H22" s="169"/>
      <c r="I22" s="169"/>
      <c r="J22" s="169"/>
      <c r="K22" s="169"/>
      <c r="L22" s="169"/>
      <c r="M22" s="169"/>
      <c r="O22" s="67"/>
      <c r="R22" s="59"/>
      <c r="T22" s="67"/>
      <c r="W22" s="84" t="s">
        <v>221</v>
      </c>
      <c r="X22" s="85">
        <v>2</v>
      </c>
      <c r="Y22" s="169"/>
      <c r="Z22" s="169"/>
      <c r="AA22" s="169"/>
    </row>
    <row r="23" spans="2:27" s="55" customFormat="1" ht="20.100000000000001" customHeight="1" x14ac:dyDescent="0.25">
      <c r="R23" s="59"/>
      <c r="W23" s="59"/>
    </row>
    <row r="24" spans="2:27" s="55" customFormat="1" ht="20.100000000000001" customHeight="1" x14ac:dyDescent="0.25">
      <c r="K24" s="169"/>
      <c r="L24" s="169"/>
      <c r="M24" s="169"/>
      <c r="N24" s="169"/>
      <c r="O24" s="169"/>
      <c r="R24" s="86" t="s">
        <v>222</v>
      </c>
      <c r="S24" s="85">
        <v>3</v>
      </c>
      <c r="T24" s="63"/>
      <c r="W24" s="84" t="s">
        <v>223</v>
      </c>
      <c r="X24" s="85">
        <v>3</v>
      </c>
    </row>
    <row r="25" spans="2:27" s="55" customFormat="1" ht="21.75" customHeight="1" x14ac:dyDescent="0.25">
      <c r="H25" s="87" t="s">
        <v>224</v>
      </c>
      <c r="I25" s="394">
        <v>2</v>
      </c>
      <c r="J25" s="169"/>
      <c r="K25" s="166" t="s">
        <v>225</v>
      </c>
      <c r="L25" s="166">
        <v>2</v>
      </c>
      <c r="N25" s="72" t="s">
        <v>89</v>
      </c>
      <c r="O25" s="166">
        <v>3</v>
      </c>
      <c r="P25" s="63"/>
      <c r="R25" s="62"/>
      <c r="S25" s="63"/>
      <c r="T25" s="63"/>
      <c r="W25" s="88"/>
      <c r="X25" s="89"/>
    </row>
    <row r="26" spans="2:27" s="55" customFormat="1" ht="16.5" customHeight="1" x14ac:dyDescent="0.25">
      <c r="H26" s="90" t="s">
        <v>226</v>
      </c>
      <c r="I26" s="395"/>
      <c r="K26" s="91"/>
      <c r="L26" s="91"/>
      <c r="N26" s="92"/>
      <c r="O26" s="91"/>
      <c r="R26" s="93" t="s">
        <v>227</v>
      </c>
      <c r="S26" s="94">
        <v>3</v>
      </c>
      <c r="V26" s="169"/>
      <c r="W26" s="95" t="s">
        <v>228</v>
      </c>
      <c r="X26" s="398">
        <v>2</v>
      </c>
    </row>
    <row r="27" spans="2:27" s="55" customFormat="1" ht="13.5" customHeight="1" x14ac:dyDescent="0.25">
      <c r="R27" s="59"/>
      <c r="W27" s="96" t="s">
        <v>229</v>
      </c>
      <c r="X27" s="399"/>
    </row>
    <row r="28" spans="2:27" s="55" customFormat="1" ht="13.5" customHeight="1" x14ac:dyDescent="0.25">
      <c r="K28" s="169"/>
      <c r="L28" s="169"/>
      <c r="M28" s="169"/>
      <c r="N28" s="169"/>
      <c r="O28" s="169"/>
      <c r="R28" s="59"/>
      <c r="T28" s="63"/>
      <c r="W28" s="59"/>
    </row>
    <row r="29" spans="2:27" s="55" customFormat="1" ht="24.75" customHeight="1" x14ac:dyDescent="0.25">
      <c r="R29" s="59"/>
      <c r="W29" s="93" t="s">
        <v>230</v>
      </c>
      <c r="X29" s="94">
        <v>3</v>
      </c>
      <c r="Z29" s="169"/>
      <c r="AA29" s="169"/>
    </row>
    <row r="30" spans="2:27" s="55" customFormat="1" ht="10.5" customHeight="1" x14ac:dyDescent="0.25">
      <c r="R30" s="59"/>
      <c r="W30" s="59"/>
      <c r="Z30" s="169"/>
      <c r="AA30" s="169"/>
    </row>
    <row r="31" spans="2:27" s="55" customFormat="1" ht="20.100000000000001" customHeight="1" x14ac:dyDescent="0.25"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Q31" s="169"/>
      <c r="R31" s="97" t="s">
        <v>231</v>
      </c>
      <c r="S31" s="400">
        <v>3</v>
      </c>
      <c r="T31" s="98"/>
      <c r="U31" s="169"/>
      <c r="V31" s="169"/>
      <c r="W31" s="99" t="s">
        <v>232</v>
      </c>
      <c r="X31" s="100">
        <v>2</v>
      </c>
      <c r="Y31" s="169"/>
      <c r="AA31" s="169"/>
    </row>
    <row r="32" spans="2:27" s="55" customFormat="1" ht="20.100000000000001" customHeight="1" x14ac:dyDescent="0.25">
      <c r="B32" s="72" t="s">
        <v>200</v>
      </c>
      <c r="C32" s="394">
        <v>3</v>
      </c>
      <c r="D32" s="169"/>
      <c r="E32" s="166" t="s">
        <v>233</v>
      </c>
      <c r="F32" s="394">
        <v>2</v>
      </c>
      <c r="G32" s="169"/>
      <c r="H32" s="169"/>
      <c r="I32" s="169"/>
      <c r="J32" s="169"/>
      <c r="K32" s="57" t="s">
        <v>70</v>
      </c>
      <c r="L32" s="57">
        <v>3</v>
      </c>
      <c r="M32" s="169"/>
      <c r="N32" s="52" t="s">
        <v>234</v>
      </c>
      <c r="O32" s="52">
        <v>3</v>
      </c>
      <c r="R32" s="101" t="s">
        <v>235</v>
      </c>
      <c r="S32" s="401"/>
      <c r="T32" s="98"/>
      <c r="U32" s="98"/>
      <c r="W32" s="59"/>
      <c r="Y32" s="169"/>
      <c r="AA32" s="169"/>
    </row>
    <row r="33" spans="1:28" s="55" customFormat="1" ht="20.100000000000001" customHeight="1" x14ac:dyDescent="0.25">
      <c r="B33" s="102" t="s">
        <v>236</v>
      </c>
      <c r="C33" s="395"/>
      <c r="D33" s="169"/>
      <c r="E33" s="167" t="s">
        <v>237</v>
      </c>
      <c r="F33" s="395"/>
      <c r="G33" s="169"/>
      <c r="H33" s="169"/>
      <c r="I33" s="169"/>
      <c r="J33" s="169"/>
      <c r="M33" s="169"/>
      <c r="N33" s="57" t="s">
        <v>86</v>
      </c>
      <c r="O33" s="57">
        <v>2</v>
      </c>
      <c r="R33" s="59"/>
      <c r="T33" s="98"/>
      <c r="U33" s="98"/>
      <c r="V33" s="169"/>
      <c r="W33" s="99" t="s">
        <v>238</v>
      </c>
      <c r="X33" s="100">
        <v>3</v>
      </c>
      <c r="AA33" s="169"/>
    </row>
    <row r="34" spans="1:28" s="55" customFormat="1" ht="20.100000000000001" customHeight="1" x14ac:dyDescent="0.25">
      <c r="G34" s="169"/>
      <c r="J34" s="169"/>
      <c r="K34" s="169"/>
      <c r="L34" s="169"/>
      <c r="M34" s="169"/>
      <c r="R34" s="51" t="s">
        <v>239</v>
      </c>
      <c r="S34" s="52">
        <v>3</v>
      </c>
      <c r="T34" s="98"/>
      <c r="U34" s="98"/>
      <c r="V34" s="169"/>
      <c r="W34" s="59"/>
      <c r="X34" s="103"/>
      <c r="AA34" s="169"/>
    </row>
    <row r="35" spans="1:28" s="55" customFormat="1" ht="20.100000000000001" customHeight="1" x14ac:dyDescent="0.25">
      <c r="D35" s="169"/>
      <c r="G35" s="169"/>
      <c r="H35" s="169"/>
      <c r="I35" s="169"/>
      <c r="R35" s="59"/>
      <c r="U35" s="169"/>
      <c r="V35" s="169"/>
      <c r="W35" s="104" t="s">
        <v>146</v>
      </c>
      <c r="X35" s="105">
        <v>3</v>
      </c>
    </row>
    <row r="36" spans="1:28" s="55" customFormat="1" ht="13.5" customHeight="1" x14ac:dyDescent="0.25">
      <c r="B36" s="169"/>
      <c r="C36" s="169"/>
      <c r="D36" s="169"/>
      <c r="E36" s="169"/>
      <c r="F36" s="169"/>
      <c r="G36" s="169"/>
      <c r="H36" s="169"/>
      <c r="I36" s="169"/>
      <c r="Q36" s="169"/>
      <c r="R36" s="59"/>
      <c r="V36" s="169"/>
      <c r="W36" s="62"/>
      <c r="X36" s="63"/>
    </row>
    <row r="37" spans="1:28" s="55" customFormat="1" ht="20.100000000000001" customHeight="1" x14ac:dyDescent="0.25">
      <c r="Q37" s="169"/>
      <c r="R37" s="62"/>
      <c r="S37" s="63"/>
      <c r="T37" s="63"/>
      <c r="U37" s="63"/>
      <c r="V37" s="63"/>
      <c r="W37" s="106" t="s">
        <v>240</v>
      </c>
      <c r="X37" s="107">
        <v>2</v>
      </c>
      <c r="Y37" s="169"/>
    </row>
    <row r="38" spans="1:28" s="55" customFormat="1" ht="20.100000000000001" customHeight="1" x14ac:dyDescent="0.25">
      <c r="H38" s="51" t="s">
        <v>241</v>
      </c>
      <c r="I38" s="52">
        <v>3</v>
      </c>
      <c r="Q38" s="169"/>
      <c r="R38" s="62"/>
      <c r="S38" s="63"/>
      <c r="T38" s="63"/>
      <c r="U38" s="63"/>
      <c r="V38" s="63"/>
      <c r="W38" s="62"/>
      <c r="X38" s="63"/>
      <c r="Y38" s="169"/>
    </row>
    <row r="39" spans="1:28" s="55" customFormat="1" ht="20.100000000000001" customHeight="1" x14ac:dyDescent="0.25">
      <c r="D39" s="169"/>
      <c r="E39" s="169"/>
      <c r="G39" s="169"/>
      <c r="H39" s="70" t="s">
        <v>242</v>
      </c>
      <c r="I39" s="71">
        <v>2</v>
      </c>
      <c r="K39" s="51" t="s">
        <v>243</v>
      </c>
      <c r="L39" s="52">
        <v>3</v>
      </c>
      <c r="M39" s="169"/>
      <c r="N39" s="71" t="s">
        <v>78</v>
      </c>
      <c r="O39" s="71">
        <v>3</v>
      </c>
      <c r="P39" s="63"/>
      <c r="Q39" s="169"/>
      <c r="R39" s="106" t="s">
        <v>244</v>
      </c>
      <c r="S39" s="107">
        <v>3</v>
      </c>
      <c r="T39" s="63"/>
      <c r="U39" s="63"/>
      <c r="V39" s="63"/>
      <c r="W39" s="106" t="s">
        <v>245</v>
      </c>
      <c r="X39" s="107">
        <v>3</v>
      </c>
      <c r="Y39" s="169"/>
    </row>
    <row r="40" spans="1:28" s="55" customFormat="1" ht="12.75" customHeight="1" x14ac:dyDescent="0.25">
      <c r="D40" s="169"/>
      <c r="E40" s="169"/>
      <c r="G40" s="169"/>
      <c r="H40" s="63"/>
      <c r="I40" s="63"/>
      <c r="K40" s="63"/>
      <c r="L40" s="63"/>
      <c r="M40" s="169"/>
      <c r="N40" s="63"/>
      <c r="O40" s="63"/>
      <c r="P40" s="63"/>
      <c r="Q40" s="63"/>
      <c r="R40" s="62"/>
      <c r="S40" s="63"/>
      <c r="T40" s="63"/>
      <c r="W40" s="62"/>
      <c r="X40" s="63"/>
      <c r="Y40" s="169"/>
    </row>
    <row r="41" spans="1:28" s="55" customFormat="1" ht="25.5" customHeight="1" x14ac:dyDescent="0.25">
      <c r="B41" s="56" t="s">
        <v>246</v>
      </c>
      <c r="C41" s="57">
        <v>3</v>
      </c>
      <c r="D41" s="169"/>
      <c r="E41" s="108"/>
      <c r="F41" s="63"/>
      <c r="G41" s="169"/>
      <c r="H41" s="70" t="s">
        <v>52</v>
      </c>
      <c r="I41" s="71">
        <v>3</v>
      </c>
      <c r="J41" s="169"/>
      <c r="K41" s="70" t="s">
        <v>189</v>
      </c>
      <c r="L41" s="71">
        <v>3</v>
      </c>
      <c r="M41" s="169"/>
      <c r="N41" s="109" t="s">
        <v>247</v>
      </c>
      <c r="O41" s="52">
        <v>3</v>
      </c>
      <c r="Q41" s="169"/>
      <c r="R41" s="264" t="s">
        <v>190</v>
      </c>
      <c r="S41" s="267">
        <v>3</v>
      </c>
      <c r="V41" s="169"/>
      <c r="W41" s="264" t="s">
        <v>248</v>
      </c>
      <c r="X41" s="267">
        <v>2</v>
      </c>
      <c r="Y41" s="169"/>
    </row>
    <row r="42" spans="1:28" s="55" customFormat="1" ht="9.75" customHeight="1" x14ac:dyDescent="0.25">
      <c r="G42" s="169"/>
      <c r="M42" s="169"/>
      <c r="Q42" s="169"/>
      <c r="R42" s="58"/>
      <c r="S42" s="169"/>
      <c r="T42" s="63"/>
      <c r="W42" s="64"/>
      <c r="X42" s="65"/>
      <c r="Y42" s="169"/>
      <c r="Z42" s="169"/>
      <c r="AA42" s="169"/>
    </row>
    <row r="43" spans="1:28" s="55" customFormat="1" ht="20.100000000000001" customHeight="1" x14ac:dyDescent="0.25">
      <c r="B43" s="112" t="s">
        <v>249</v>
      </c>
      <c r="C43" s="386">
        <v>2</v>
      </c>
      <c r="D43" s="169"/>
      <c r="E43" s="87" t="s">
        <v>249</v>
      </c>
      <c r="F43" s="394">
        <v>2</v>
      </c>
      <c r="G43" s="169"/>
      <c r="H43" s="113" t="s">
        <v>250</v>
      </c>
      <c r="I43" s="386">
        <v>2</v>
      </c>
      <c r="R43" s="59"/>
      <c r="W43" s="265" t="s">
        <v>251</v>
      </c>
      <c r="X43" s="407">
        <v>3</v>
      </c>
      <c r="Y43" s="169"/>
      <c r="Z43" s="169"/>
      <c r="AA43" s="169"/>
    </row>
    <row r="44" spans="1:28" s="55" customFormat="1" ht="12.75" customHeight="1" x14ac:dyDescent="0.25">
      <c r="B44" s="115" t="s">
        <v>252</v>
      </c>
      <c r="C44" s="387"/>
      <c r="E44" s="116" t="s">
        <v>253</v>
      </c>
      <c r="F44" s="395"/>
      <c r="H44" s="165" t="s">
        <v>254</v>
      </c>
      <c r="I44" s="387"/>
      <c r="R44" s="59"/>
      <c r="W44" s="266" t="s">
        <v>255</v>
      </c>
      <c r="X44" s="408"/>
    </row>
    <row r="45" spans="1:28" s="55" customFormat="1" ht="9.75" customHeight="1" x14ac:dyDescent="0.25">
      <c r="B45" s="63"/>
      <c r="C45" s="63"/>
      <c r="D45" s="63"/>
      <c r="E45" s="63"/>
      <c r="F45" s="63"/>
      <c r="G45" s="169"/>
      <c r="H45" s="169"/>
      <c r="I45" s="169"/>
      <c r="R45" s="118"/>
      <c r="S45" s="119"/>
      <c r="W45" s="59"/>
      <c r="Y45" s="169"/>
      <c r="Z45" s="169"/>
      <c r="AA45" s="169"/>
    </row>
    <row r="46" spans="1:28" ht="25.5" customHeight="1" x14ac:dyDescent="0.2">
      <c r="A46" s="55"/>
      <c r="B46" s="51" t="s">
        <v>256</v>
      </c>
      <c r="C46" s="52">
        <v>3</v>
      </c>
      <c r="D46" s="169"/>
      <c r="E46" s="57" t="s">
        <v>40</v>
      </c>
      <c r="F46" s="57">
        <v>3</v>
      </c>
      <c r="G46" s="169"/>
      <c r="H46" s="51" t="s">
        <v>257</v>
      </c>
      <c r="I46" s="52">
        <v>3</v>
      </c>
      <c r="J46" s="169"/>
      <c r="K46" s="55"/>
      <c r="L46" s="55"/>
      <c r="M46" s="169"/>
      <c r="N46" s="55"/>
      <c r="O46" s="55"/>
      <c r="P46" s="55"/>
      <c r="Q46" s="55"/>
      <c r="R46" s="83" t="s">
        <v>258</v>
      </c>
      <c r="S46" s="168">
        <v>3</v>
      </c>
      <c r="T46" s="55"/>
      <c r="U46" s="55"/>
      <c r="V46" s="55"/>
      <c r="W46" s="59"/>
      <c r="X46" s="55"/>
      <c r="Y46" s="169"/>
      <c r="Z46" s="57" t="s">
        <v>259</v>
      </c>
      <c r="AA46" s="57">
        <v>6</v>
      </c>
      <c r="AB46" s="55"/>
    </row>
    <row r="47" spans="1:28" ht="4.5" customHeight="1" x14ac:dyDescent="0.2">
      <c r="B47" s="48"/>
      <c r="C47" s="48"/>
      <c r="D47" s="48"/>
      <c r="E47" s="48"/>
      <c r="F47" s="48"/>
      <c r="G47" s="48"/>
      <c r="H47" s="121"/>
      <c r="I47" s="121"/>
      <c r="J47" s="48"/>
      <c r="K47" s="48"/>
      <c r="L47" s="48"/>
      <c r="M47" s="48"/>
      <c r="N47" s="48"/>
      <c r="O47" s="48"/>
      <c r="R47" s="122"/>
      <c r="S47" s="123"/>
      <c r="T47" s="123"/>
      <c r="W47" s="122"/>
      <c r="X47" s="124"/>
      <c r="Y47" s="48"/>
    </row>
    <row r="48" spans="1:28" ht="10.5" customHeight="1" x14ac:dyDescent="0.2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R48" s="122"/>
      <c r="S48" s="123"/>
      <c r="T48" s="123"/>
      <c r="W48" s="122"/>
      <c r="X48" s="124"/>
      <c r="Y48" s="48"/>
      <c r="Z48" s="48"/>
      <c r="AA48" s="48"/>
    </row>
    <row r="49" spans="2:27" ht="15" customHeight="1" x14ac:dyDescent="0.2">
      <c r="B49" s="48"/>
      <c r="C49" s="52">
        <f>SUM(C6:C47)</f>
        <v>19</v>
      </c>
      <c r="D49" s="125"/>
      <c r="E49" s="125"/>
      <c r="F49" s="52">
        <f>SUM(F6:F47)</f>
        <v>18</v>
      </c>
      <c r="G49" s="44"/>
      <c r="H49" s="44"/>
      <c r="I49" s="52">
        <f>SUM(I6:I47)</f>
        <v>21</v>
      </c>
      <c r="J49" s="44"/>
      <c r="K49" s="44"/>
      <c r="L49" s="52">
        <f>SUM(L6:L47)</f>
        <v>22</v>
      </c>
      <c r="M49" s="44"/>
      <c r="N49" s="44"/>
      <c r="O49" s="52">
        <f>SUM(O6:O47)</f>
        <v>22</v>
      </c>
      <c r="P49" s="44"/>
      <c r="Q49" s="44"/>
      <c r="R49" s="126"/>
      <c r="S49" s="52">
        <v>21</v>
      </c>
      <c r="T49" s="44"/>
      <c r="U49" s="44"/>
      <c r="V49" s="44"/>
      <c r="W49" s="126"/>
      <c r="X49" s="52">
        <v>17</v>
      </c>
      <c r="Y49" s="125"/>
      <c r="Z49" s="127"/>
      <c r="AA49" s="52">
        <v>6</v>
      </c>
    </row>
    <row r="50" spans="2:27" ht="12.75" customHeight="1" x14ac:dyDescent="0.2">
      <c r="E50" s="128" t="s">
        <v>260</v>
      </c>
      <c r="Q50" s="35"/>
      <c r="R50" s="42"/>
      <c r="S50" s="35"/>
      <c r="T50" s="35"/>
      <c r="U50" s="35"/>
      <c r="V50" s="35"/>
      <c r="W50" s="42"/>
      <c r="X50" s="34"/>
      <c r="Y50" s="35"/>
      <c r="Z50" s="48"/>
    </row>
    <row r="51" spans="2:27" ht="15" customHeight="1" x14ac:dyDescent="0.2">
      <c r="B51" s="127" t="s">
        <v>261</v>
      </c>
      <c r="C51" s="129">
        <f>+C49+F49+I49+L49+O49+S49+X49+AA46</f>
        <v>146</v>
      </c>
      <c r="F51" s="37" t="s">
        <v>262</v>
      </c>
      <c r="L51" s="48"/>
      <c r="M51" s="48"/>
      <c r="N51" s="48"/>
      <c r="P51" s="37" t="s">
        <v>263</v>
      </c>
      <c r="Q51" s="35"/>
      <c r="R51" s="42"/>
      <c r="S51" s="35"/>
      <c r="T51" s="35"/>
      <c r="U51" s="35"/>
      <c r="V51" s="35"/>
      <c r="X51" s="34"/>
      <c r="Y51" s="35"/>
    </row>
    <row r="52" spans="2:27" ht="15" customHeight="1" x14ac:dyDescent="0.2">
      <c r="E52" s="48"/>
      <c r="F52" s="37" t="s">
        <v>264</v>
      </c>
      <c r="L52" s="48"/>
      <c r="M52" s="48"/>
      <c r="N52" s="48"/>
      <c r="Q52" s="35"/>
      <c r="R52" s="131"/>
      <c r="S52" s="35"/>
      <c r="T52" s="35"/>
      <c r="U52" s="35"/>
      <c r="V52" s="35"/>
      <c r="W52" s="42"/>
      <c r="X52" s="34"/>
      <c r="Y52" s="35"/>
    </row>
    <row r="53" spans="2:27" ht="15" customHeight="1" x14ac:dyDescent="0.2">
      <c r="E53" s="48"/>
      <c r="F53" s="127" t="s">
        <v>265</v>
      </c>
      <c r="L53" s="48"/>
      <c r="M53" s="48"/>
      <c r="N53" s="48"/>
      <c r="Q53" s="35"/>
      <c r="R53" s="131"/>
      <c r="S53" s="35"/>
      <c r="T53" s="35"/>
      <c r="U53" s="35"/>
      <c r="V53" s="35"/>
      <c r="W53" s="42"/>
      <c r="X53" s="34"/>
      <c r="Y53" s="35"/>
    </row>
    <row r="54" spans="2:27" ht="21.75" customHeight="1" x14ac:dyDescent="0.4">
      <c r="F54" s="37" t="s">
        <v>266</v>
      </c>
      <c r="Q54" s="35"/>
      <c r="R54" s="42"/>
      <c r="S54" s="35"/>
      <c r="T54" s="35"/>
      <c r="U54" s="35"/>
      <c r="V54" s="35"/>
      <c r="W54" s="42"/>
      <c r="X54" s="34"/>
      <c r="Y54" s="35"/>
      <c r="AA54" s="132"/>
    </row>
    <row r="55" spans="2:27" ht="15" customHeight="1" x14ac:dyDescent="0.2">
      <c r="W55" s="122"/>
      <c r="X55" s="124"/>
      <c r="Y55" s="48"/>
    </row>
    <row r="56" spans="2:27" ht="15" customHeight="1" x14ac:dyDescent="0.2"/>
    <row r="57" spans="2:27" ht="15" customHeight="1" x14ac:dyDescent="0.2"/>
    <row r="58" spans="2:27" ht="15" customHeight="1" x14ac:dyDescent="0.2"/>
    <row r="59" spans="2:27" ht="15" customHeight="1" x14ac:dyDescent="0.2"/>
    <row r="60" spans="2:27" ht="15" customHeight="1" x14ac:dyDescent="0.2"/>
    <row r="61" spans="2:27" ht="15" customHeight="1" x14ac:dyDescent="0.2"/>
    <row r="62" spans="2:27" ht="15" customHeight="1" x14ac:dyDescent="0.2"/>
    <row r="63" spans="2:27" ht="15" customHeight="1" x14ac:dyDescent="0.2"/>
    <row r="64" spans="2:27" ht="15" customHeight="1" x14ac:dyDescent="0.2"/>
    <row r="65" spans="8:19" ht="15" customHeight="1" x14ac:dyDescent="0.2"/>
    <row r="66" spans="8:19" ht="15" customHeight="1" x14ac:dyDescent="0.2"/>
    <row r="67" spans="8:19" ht="15" customHeight="1" x14ac:dyDescent="0.2">
      <c r="H67" s="134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</row>
    <row r="68" spans="8:19" ht="15" customHeight="1" x14ac:dyDescent="0.3">
      <c r="H68" s="134"/>
      <c r="I68" s="136"/>
      <c r="J68" s="136"/>
      <c r="K68" s="136"/>
      <c r="L68" s="136"/>
      <c r="M68" s="136"/>
      <c r="N68" s="136"/>
      <c r="O68" s="39"/>
      <c r="P68" s="39"/>
      <c r="Q68" s="39"/>
      <c r="R68" s="39"/>
      <c r="S68" s="39"/>
    </row>
    <row r="69" spans="8:19" ht="15" customHeight="1" x14ac:dyDescent="0.2"/>
    <row r="70" spans="8:19" ht="14.25" customHeight="1" x14ac:dyDescent="0.2"/>
    <row r="71" spans="8:19" ht="15" customHeight="1" x14ac:dyDescent="0.2"/>
    <row r="72" spans="8:19" ht="15" customHeight="1" x14ac:dyDescent="0.2"/>
    <row r="73" spans="8:19" ht="15" customHeight="1" x14ac:dyDescent="0.2"/>
    <row r="74" spans="8:19" ht="15" customHeight="1" x14ac:dyDescent="0.2"/>
    <row r="75" spans="8:19" ht="15" customHeight="1" x14ac:dyDescent="0.2"/>
    <row r="76" spans="8:19" ht="15" customHeight="1" x14ac:dyDescent="0.2"/>
    <row r="77" spans="8:19" ht="15" customHeight="1" x14ac:dyDescent="0.2"/>
    <row r="78" spans="8:19" ht="15" customHeight="1" x14ac:dyDescent="0.2"/>
    <row r="79" spans="8:19" ht="15" customHeight="1" x14ac:dyDescent="0.2"/>
    <row r="80" spans="8:19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</sheetData>
  <mergeCells count="17">
    <mergeCell ref="C43:C44"/>
    <mergeCell ref="F43:F44"/>
    <mergeCell ref="I43:I44"/>
    <mergeCell ref="X43:X44"/>
    <mergeCell ref="F21:F22"/>
    <mergeCell ref="I25:I26"/>
    <mergeCell ref="X26:X27"/>
    <mergeCell ref="S31:S32"/>
    <mergeCell ref="C32:C33"/>
    <mergeCell ref="F32:F33"/>
    <mergeCell ref="L18:L19"/>
    <mergeCell ref="O18:O19"/>
    <mergeCell ref="B1:V1"/>
    <mergeCell ref="B2:W2"/>
    <mergeCell ref="Z4:AA4"/>
    <mergeCell ref="C8:C9"/>
    <mergeCell ref="C14:C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0"/>
  <sheetViews>
    <sheetView workbookViewId="0">
      <selection activeCell="D105" sqref="D105"/>
    </sheetView>
  </sheetViews>
  <sheetFormatPr defaultRowHeight="15" x14ac:dyDescent="0.25"/>
  <cols>
    <col min="3" max="3" width="10.5703125" bestFit="1" customWidth="1"/>
    <col min="4" max="4" width="12.28515625" bestFit="1" customWidth="1"/>
    <col min="5" max="5" width="60.5703125" bestFit="1" customWidth="1"/>
    <col min="8" max="8" width="19.140625" bestFit="1" customWidth="1"/>
    <col min="9" max="9" width="20" bestFit="1" customWidth="1"/>
    <col min="10" max="10" width="36.28515625" bestFit="1" customWidth="1"/>
  </cols>
  <sheetData>
    <row r="1" spans="2:10" ht="23.25" x14ac:dyDescent="0.35">
      <c r="E1" s="356" t="s">
        <v>319</v>
      </c>
    </row>
    <row r="2" spans="2:10" ht="15.75" thickBot="1" x14ac:dyDescent="0.3"/>
    <row r="3" spans="2:10" ht="15.75" thickBot="1" x14ac:dyDescent="0.3">
      <c r="B3" s="411" t="s">
        <v>0</v>
      </c>
      <c r="C3" s="412"/>
      <c r="D3" s="412"/>
      <c r="E3" s="412"/>
      <c r="F3" s="412"/>
      <c r="G3" s="412"/>
      <c r="H3" s="413"/>
    </row>
    <row r="4" spans="2:10" ht="43.5" thickBot="1" x14ac:dyDescent="0.3">
      <c r="B4" s="171" t="s">
        <v>1</v>
      </c>
      <c r="C4" s="172" t="s">
        <v>2</v>
      </c>
      <c r="D4" s="172" t="s">
        <v>348</v>
      </c>
      <c r="E4" s="172" t="s">
        <v>3</v>
      </c>
      <c r="F4" s="172" t="s">
        <v>4</v>
      </c>
      <c r="G4" s="173" t="s">
        <v>5</v>
      </c>
      <c r="H4" s="173" t="s">
        <v>280</v>
      </c>
    </row>
    <row r="5" spans="2:10" x14ac:dyDescent="0.25">
      <c r="B5" s="414" t="s">
        <v>6</v>
      </c>
      <c r="C5" s="415"/>
      <c r="D5" s="415"/>
      <c r="E5" s="415"/>
      <c r="F5" s="415"/>
      <c r="G5" s="415"/>
      <c r="H5" s="416"/>
    </row>
    <row r="6" spans="2:10" ht="15.75" thickBot="1" x14ac:dyDescent="0.3">
      <c r="B6" s="417"/>
      <c r="C6" s="418"/>
      <c r="D6" s="418"/>
      <c r="E6" s="418"/>
      <c r="F6" s="418"/>
      <c r="G6" s="418"/>
      <c r="H6" s="419"/>
    </row>
    <row r="7" spans="2:10" ht="15.75" thickBot="1" x14ac:dyDescent="0.3">
      <c r="B7" s="175">
        <v>1</v>
      </c>
      <c r="C7" s="176" t="s">
        <v>7</v>
      </c>
      <c r="D7" s="176" t="s">
        <v>349</v>
      </c>
      <c r="E7" s="177" t="s">
        <v>281</v>
      </c>
      <c r="F7" s="176">
        <v>3</v>
      </c>
      <c r="G7" s="176" t="s">
        <v>9</v>
      </c>
      <c r="H7" s="176"/>
      <c r="I7" s="176"/>
    </row>
    <row r="8" spans="2:10" ht="15.75" thickBot="1" x14ac:dyDescent="0.3">
      <c r="B8" s="178">
        <v>2</v>
      </c>
      <c r="C8" s="176" t="s">
        <v>282</v>
      </c>
      <c r="D8" s="176" t="s">
        <v>350</v>
      </c>
      <c r="E8" s="179" t="s">
        <v>271</v>
      </c>
      <c r="F8" s="176">
        <v>2</v>
      </c>
      <c r="G8" s="176" t="s">
        <v>9</v>
      </c>
      <c r="H8" s="180" t="s">
        <v>283</v>
      </c>
      <c r="I8" s="176"/>
    </row>
    <row r="9" spans="2:10" ht="15.75" thickBot="1" x14ac:dyDescent="0.3">
      <c r="B9" s="175">
        <v>3</v>
      </c>
      <c r="C9" s="176" t="s">
        <v>12</v>
      </c>
      <c r="D9" s="176" t="s">
        <v>351</v>
      </c>
      <c r="E9" s="181" t="s">
        <v>13</v>
      </c>
      <c r="F9" s="176">
        <v>3</v>
      </c>
      <c r="G9" s="176" t="s">
        <v>21</v>
      </c>
      <c r="H9" s="176"/>
      <c r="I9" s="176"/>
      <c r="J9" s="358"/>
    </row>
    <row r="10" spans="2:10" ht="15.75" thickBot="1" x14ac:dyDescent="0.3">
      <c r="B10" s="175">
        <v>4</v>
      </c>
      <c r="C10" s="176" t="s">
        <v>10</v>
      </c>
      <c r="D10" s="176" t="s">
        <v>352</v>
      </c>
      <c r="E10" s="181" t="s">
        <v>11</v>
      </c>
      <c r="F10" s="176">
        <v>2</v>
      </c>
      <c r="G10" s="176" t="s">
        <v>9</v>
      </c>
      <c r="H10" s="176"/>
      <c r="I10" s="176"/>
    </row>
    <row r="11" spans="2:10" ht="15.75" thickBot="1" x14ac:dyDescent="0.3">
      <c r="B11" s="175">
        <v>5</v>
      </c>
      <c r="C11" s="176" t="s">
        <v>14</v>
      </c>
      <c r="D11" s="176" t="s">
        <v>353</v>
      </c>
      <c r="E11" s="177" t="s">
        <v>284</v>
      </c>
      <c r="F11" s="176">
        <v>2</v>
      </c>
      <c r="G11" s="176" t="s">
        <v>9</v>
      </c>
      <c r="H11" s="176"/>
      <c r="I11" s="176"/>
    </row>
    <row r="12" spans="2:10" ht="15.75" thickBot="1" x14ac:dyDescent="0.3">
      <c r="B12" s="175">
        <v>6</v>
      </c>
      <c r="C12" s="176" t="s">
        <v>17</v>
      </c>
      <c r="D12" s="176" t="s">
        <v>354</v>
      </c>
      <c r="E12" s="181" t="s">
        <v>18</v>
      </c>
      <c r="F12" s="176">
        <v>3</v>
      </c>
      <c r="G12" s="176" t="s">
        <v>9</v>
      </c>
      <c r="H12" s="176"/>
      <c r="I12" s="176"/>
    </row>
    <row r="13" spans="2:10" ht="15.75" thickBot="1" x14ac:dyDescent="0.3">
      <c r="B13" s="175">
        <v>7</v>
      </c>
      <c r="C13" s="176" t="s">
        <v>19</v>
      </c>
      <c r="D13" s="176" t="s">
        <v>355</v>
      </c>
      <c r="E13" s="181" t="s">
        <v>20</v>
      </c>
      <c r="F13" s="176">
        <v>2</v>
      </c>
      <c r="G13" s="176" t="s">
        <v>9</v>
      </c>
      <c r="H13" s="176"/>
      <c r="I13" s="176"/>
      <c r="J13" s="359"/>
    </row>
    <row r="14" spans="2:10" ht="15.75" thickBot="1" x14ac:dyDescent="0.3">
      <c r="B14" s="175">
        <v>8</v>
      </c>
      <c r="C14" s="176" t="s">
        <v>22</v>
      </c>
      <c r="D14" s="176" t="s">
        <v>356</v>
      </c>
      <c r="E14" s="177" t="s">
        <v>285</v>
      </c>
      <c r="F14" s="176">
        <v>3</v>
      </c>
      <c r="G14" s="176" t="s">
        <v>9</v>
      </c>
      <c r="H14" s="176"/>
      <c r="I14" s="176"/>
    </row>
    <row r="15" spans="2:10" ht="15.75" thickBot="1" x14ac:dyDescent="0.3">
      <c r="B15" s="175"/>
      <c r="C15" s="182"/>
      <c r="D15" s="182"/>
      <c r="E15" s="172" t="s">
        <v>166</v>
      </c>
      <c r="F15" s="176">
        <v>20</v>
      </c>
      <c r="G15" s="182"/>
      <c r="H15" s="176"/>
    </row>
    <row r="16" spans="2:10" x14ac:dyDescent="0.25">
      <c r="B16" s="414" t="s">
        <v>24</v>
      </c>
      <c r="C16" s="415"/>
      <c r="D16" s="415"/>
      <c r="E16" s="415"/>
      <c r="F16" s="415"/>
      <c r="G16" s="415"/>
      <c r="H16" s="416"/>
    </row>
    <row r="17" spans="2:9" ht="15.75" thickBot="1" x14ac:dyDescent="0.3">
      <c r="B17" s="417"/>
      <c r="C17" s="418"/>
      <c r="D17" s="418"/>
      <c r="E17" s="418"/>
      <c r="F17" s="418"/>
      <c r="G17" s="418"/>
      <c r="H17" s="419"/>
    </row>
    <row r="18" spans="2:9" ht="15.75" thickBot="1" x14ac:dyDescent="0.3">
      <c r="B18" s="175">
        <v>1</v>
      </c>
      <c r="C18" s="176" t="s">
        <v>25</v>
      </c>
      <c r="D18" s="176" t="s">
        <v>357</v>
      </c>
      <c r="E18" s="181" t="s">
        <v>26</v>
      </c>
      <c r="F18" s="176">
        <v>2</v>
      </c>
      <c r="G18" s="176" t="s">
        <v>9</v>
      </c>
      <c r="H18" s="176"/>
      <c r="I18" s="176"/>
    </row>
    <row r="19" spans="2:9" ht="15.75" thickBot="1" x14ac:dyDescent="0.3">
      <c r="B19" s="175">
        <v>2</v>
      </c>
      <c r="C19" s="176" t="s">
        <v>27</v>
      </c>
      <c r="D19" s="176" t="s">
        <v>358</v>
      </c>
      <c r="E19" s="177" t="s">
        <v>286</v>
      </c>
      <c r="F19" s="176">
        <v>3</v>
      </c>
      <c r="G19" s="176" t="s">
        <v>9</v>
      </c>
      <c r="H19" s="176"/>
      <c r="I19" s="176"/>
    </row>
    <row r="20" spans="2:9" ht="15.75" thickBot="1" x14ac:dyDescent="0.3">
      <c r="B20" s="175">
        <v>3</v>
      </c>
      <c r="C20" s="183" t="s">
        <v>29</v>
      </c>
      <c r="D20" s="183" t="s">
        <v>359</v>
      </c>
      <c r="E20" s="179" t="s">
        <v>30</v>
      </c>
      <c r="F20" s="183">
        <v>2</v>
      </c>
      <c r="G20" s="183" t="s">
        <v>9</v>
      </c>
      <c r="H20" s="176"/>
      <c r="I20" s="183"/>
    </row>
    <row r="21" spans="2:9" ht="15.75" thickBot="1" x14ac:dyDescent="0.3">
      <c r="B21" s="175">
        <v>4</v>
      </c>
      <c r="C21" s="183" t="s">
        <v>31</v>
      </c>
      <c r="D21" s="183" t="s">
        <v>360</v>
      </c>
      <c r="E21" s="184" t="s">
        <v>287</v>
      </c>
      <c r="F21" s="183">
        <v>2</v>
      </c>
      <c r="G21" s="183" t="s">
        <v>9</v>
      </c>
      <c r="H21" s="180"/>
      <c r="I21" s="183"/>
    </row>
    <row r="22" spans="2:9" ht="15.75" thickBot="1" x14ac:dyDescent="0.3">
      <c r="B22" s="175">
        <v>5</v>
      </c>
      <c r="C22" s="176" t="s">
        <v>33</v>
      </c>
      <c r="D22" s="176" t="s">
        <v>361</v>
      </c>
      <c r="E22" s="181" t="s">
        <v>34</v>
      </c>
      <c r="F22" s="176">
        <v>2</v>
      </c>
      <c r="G22" s="176" t="s">
        <v>9</v>
      </c>
      <c r="H22" s="176"/>
      <c r="I22" s="176"/>
    </row>
    <row r="23" spans="2:9" ht="15.75" thickBot="1" x14ac:dyDescent="0.3">
      <c r="B23" s="175">
        <v>6</v>
      </c>
      <c r="C23" s="176" t="s">
        <v>35</v>
      </c>
      <c r="D23" s="176" t="s">
        <v>362</v>
      </c>
      <c r="E23" s="177" t="s">
        <v>288</v>
      </c>
      <c r="F23" s="176">
        <v>2</v>
      </c>
      <c r="G23" s="176" t="s">
        <v>9</v>
      </c>
      <c r="H23" s="176"/>
      <c r="I23" s="176"/>
    </row>
    <row r="24" spans="2:9" ht="15.75" thickBot="1" x14ac:dyDescent="0.3">
      <c r="B24" s="175">
        <v>7</v>
      </c>
      <c r="C24" s="176" t="s">
        <v>37</v>
      </c>
      <c r="D24" s="176" t="s">
        <v>363</v>
      </c>
      <c r="E24" s="181" t="s">
        <v>38</v>
      </c>
      <c r="F24" s="176">
        <v>2</v>
      </c>
      <c r="G24" s="176" t="s">
        <v>9</v>
      </c>
      <c r="H24" s="176"/>
      <c r="I24" s="176"/>
    </row>
    <row r="25" spans="2:9" ht="15.75" thickBot="1" x14ac:dyDescent="0.3">
      <c r="B25" s="175">
        <v>8</v>
      </c>
      <c r="C25" s="176" t="s">
        <v>39</v>
      </c>
      <c r="D25" s="176" t="s">
        <v>364</v>
      </c>
      <c r="E25" s="181" t="s">
        <v>40</v>
      </c>
      <c r="F25" s="176">
        <v>3</v>
      </c>
      <c r="G25" s="176" t="s">
        <v>9</v>
      </c>
      <c r="H25" s="176"/>
      <c r="I25" s="176"/>
    </row>
    <row r="26" spans="2:9" ht="15.75" thickBot="1" x14ac:dyDescent="0.3">
      <c r="B26" s="175"/>
      <c r="C26" s="182"/>
      <c r="D26" s="182"/>
      <c r="E26" s="172" t="s">
        <v>166</v>
      </c>
      <c r="F26" s="176">
        <v>18</v>
      </c>
      <c r="G26" s="182"/>
      <c r="H26" s="176"/>
    </row>
    <row r="27" spans="2:9" x14ac:dyDescent="0.25">
      <c r="B27" s="414" t="s">
        <v>41</v>
      </c>
      <c r="C27" s="415"/>
      <c r="D27" s="415"/>
      <c r="E27" s="415"/>
      <c r="F27" s="415"/>
      <c r="G27" s="415"/>
      <c r="H27" s="416"/>
    </row>
    <row r="28" spans="2:9" ht="15.75" thickBot="1" x14ac:dyDescent="0.3">
      <c r="B28" s="417"/>
      <c r="C28" s="418"/>
      <c r="D28" s="418"/>
      <c r="E28" s="418"/>
      <c r="F28" s="418"/>
      <c r="G28" s="418"/>
      <c r="H28" s="419"/>
    </row>
    <row r="29" spans="2:9" ht="15.75" thickBot="1" x14ac:dyDescent="0.3">
      <c r="B29" s="175">
        <v>1</v>
      </c>
      <c r="C29" s="176" t="s">
        <v>42</v>
      </c>
      <c r="D29" s="176" t="s">
        <v>365</v>
      </c>
      <c r="E29" s="181" t="s">
        <v>43</v>
      </c>
      <c r="F29" s="176">
        <v>3</v>
      </c>
      <c r="G29" s="176" t="s">
        <v>9</v>
      </c>
      <c r="H29" s="176"/>
      <c r="I29" s="176"/>
    </row>
    <row r="30" spans="2:9" ht="15.75" thickBot="1" x14ac:dyDescent="0.3">
      <c r="B30" s="175">
        <v>2</v>
      </c>
      <c r="C30" s="176" t="s">
        <v>45</v>
      </c>
      <c r="D30" s="176" t="s">
        <v>366</v>
      </c>
      <c r="E30" s="177" t="s">
        <v>289</v>
      </c>
      <c r="F30" s="176">
        <v>3</v>
      </c>
      <c r="G30" s="176" t="s">
        <v>9</v>
      </c>
      <c r="H30" s="176"/>
      <c r="I30" s="176"/>
    </row>
    <row r="31" spans="2:9" ht="15.75" thickBot="1" x14ac:dyDescent="0.3">
      <c r="B31" s="175">
        <v>3</v>
      </c>
      <c r="C31" s="176" t="s">
        <v>47</v>
      </c>
      <c r="D31" s="176" t="s">
        <v>367</v>
      </c>
      <c r="E31" s="181" t="s">
        <v>48</v>
      </c>
      <c r="F31" s="176">
        <v>2</v>
      </c>
      <c r="G31" s="176" t="s">
        <v>9</v>
      </c>
      <c r="H31" s="176"/>
      <c r="I31" s="176"/>
    </row>
    <row r="32" spans="2:9" ht="15.75" thickBot="1" x14ac:dyDescent="0.3">
      <c r="B32" s="175">
        <v>4</v>
      </c>
      <c r="C32" s="176" t="s">
        <v>49</v>
      </c>
      <c r="D32" s="176" t="s">
        <v>368</v>
      </c>
      <c r="E32" s="181" t="s">
        <v>50</v>
      </c>
      <c r="F32" s="176">
        <v>3</v>
      </c>
      <c r="G32" s="176" t="s">
        <v>9</v>
      </c>
      <c r="H32" s="176"/>
      <c r="I32" s="176"/>
    </row>
    <row r="33" spans="2:11" ht="15.75" thickBot="1" x14ac:dyDescent="0.3">
      <c r="B33" s="175">
        <v>5</v>
      </c>
      <c r="C33" s="183" t="s">
        <v>51</v>
      </c>
      <c r="D33" s="183" t="s">
        <v>369</v>
      </c>
      <c r="E33" s="179" t="s">
        <v>290</v>
      </c>
      <c r="F33" s="183">
        <v>3</v>
      </c>
      <c r="G33" s="183" t="s">
        <v>9</v>
      </c>
      <c r="H33" s="180"/>
      <c r="I33" s="183"/>
    </row>
    <row r="34" spans="2:11" ht="15.75" thickBot="1" x14ac:dyDescent="0.3">
      <c r="B34" s="175">
        <v>6</v>
      </c>
      <c r="C34" s="176" t="s">
        <v>53</v>
      </c>
      <c r="D34" s="176" t="s">
        <v>370</v>
      </c>
      <c r="E34" s="181" t="s">
        <v>54</v>
      </c>
      <c r="F34" s="176">
        <v>2</v>
      </c>
      <c r="G34" s="176" t="s">
        <v>9</v>
      </c>
      <c r="H34" s="176"/>
      <c r="I34" s="176"/>
    </row>
    <row r="35" spans="2:11" ht="15.75" thickBot="1" x14ac:dyDescent="0.3">
      <c r="B35" s="175">
        <v>7</v>
      </c>
      <c r="C35" s="176" t="s">
        <v>55</v>
      </c>
      <c r="D35" s="176" t="s">
        <v>371</v>
      </c>
      <c r="E35" s="177" t="s">
        <v>291</v>
      </c>
      <c r="F35" s="176">
        <v>3</v>
      </c>
      <c r="G35" s="176" t="s">
        <v>9</v>
      </c>
      <c r="H35" s="176"/>
      <c r="I35" s="176"/>
    </row>
    <row r="36" spans="2:11" ht="15.75" thickBot="1" x14ac:dyDescent="0.3">
      <c r="B36" s="175">
        <v>8</v>
      </c>
      <c r="C36" s="176" t="s">
        <v>57</v>
      </c>
      <c r="D36" s="176" t="s">
        <v>372</v>
      </c>
      <c r="E36" s="181" t="s">
        <v>58</v>
      </c>
      <c r="F36" s="176">
        <v>2</v>
      </c>
      <c r="G36" s="176" t="s">
        <v>9</v>
      </c>
      <c r="H36" s="176"/>
      <c r="I36" s="176"/>
    </row>
    <row r="37" spans="2:11" ht="15.75" thickBot="1" x14ac:dyDescent="0.3">
      <c r="B37" s="175"/>
      <c r="C37" s="182"/>
      <c r="D37" s="182"/>
      <c r="E37" s="172" t="s">
        <v>166</v>
      </c>
      <c r="F37" s="176">
        <v>21</v>
      </c>
      <c r="G37" s="182"/>
      <c r="H37" s="176"/>
    </row>
    <row r="38" spans="2:11" x14ac:dyDescent="0.25">
      <c r="B38" s="414" t="s">
        <v>59</v>
      </c>
      <c r="C38" s="415"/>
      <c r="D38" s="415"/>
      <c r="E38" s="415"/>
      <c r="F38" s="415"/>
      <c r="G38" s="415"/>
      <c r="H38" s="416"/>
    </row>
    <row r="39" spans="2:11" ht="15.75" thickBot="1" x14ac:dyDescent="0.3">
      <c r="B39" s="417"/>
      <c r="C39" s="418"/>
      <c r="D39" s="418"/>
      <c r="E39" s="418"/>
      <c r="F39" s="418"/>
      <c r="G39" s="418"/>
      <c r="H39" s="419"/>
    </row>
    <row r="40" spans="2:11" ht="15.75" thickBot="1" x14ac:dyDescent="0.3">
      <c r="B40" s="175">
        <v>1</v>
      </c>
      <c r="C40" s="176" t="s">
        <v>60</v>
      </c>
      <c r="D40" s="176" t="s">
        <v>373</v>
      </c>
      <c r="E40" s="177" t="s">
        <v>292</v>
      </c>
      <c r="F40" s="176">
        <v>3</v>
      </c>
      <c r="G40" s="176" t="s">
        <v>9</v>
      </c>
      <c r="H40" s="176"/>
      <c r="I40" s="176"/>
    </row>
    <row r="41" spans="2:11" ht="15.75" thickBot="1" x14ac:dyDescent="0.3">
      <c r="B41" s="175">
        <v>2</v>
      </c>
      <c r="C41" s="176" t="s">
        <v>62</v>
      </c>
      <c r="D41" s="176" t="s">
        <v>374</v>
      </c>
      <c r="E41" s="177" t="s">
        <v>293</v>
      </c>
      <c r="F41" s="176">
        <v>3</v>
      </c>
      <c r="G41" s="176" t="s">
        <v>9</v>
      </c>
      <c r="H41" s="176"/>
      <c r="I41" s="176"/>
    </row>
    <row r="42" spans="2:11" ht="15.75" thickBot="1" x14ac:dyDescent="0.3">
      <c r="B42" s="175">
        <v>3</v>
      </c>
      <c r="C42" s="176" t="s">
        <v>64</v>
      </c>
      <c r="D42" s="176" t="s">
        <v>375</v>
      </c>
      <c r="E42" s="177" t="s">
        <v>294</v>
      </c>
      <c r="F42" s="176">
        <v>3</v>
      </c>
      <c r="G42" s="176" t="s">
        <v>9</v>
      </c>
      <c r="H42" s="176"/>
      <c r="I42" s="176"/>
    </row>
    <row r="43" spans="2:11" ht="15.75" thickBot="1" x14ac:dyDescent="0.3">
      <c r="B43" s="175">
        <v>4</v>
      </c>
      <c r="C43" s="176" t="s">
        <v>66</v>
      </c>
      <c r="D43" s="176" t="s">
        <v>376</v>
      </c>
      <c r="E43" s="181" t="s">
        <v>182</v>
      </c>
      <c r="F43" s="176">
        <v>2</v>
      </c>
      <c r="G43" s="176" t="s">
        <v>9</v>
      </c>
      <c r="H43" s="176"/>
      <c r="I43" s="176"/>
    </row>
    <row r="44" spans="2:11" ht="15.75" thickBot="1" x14ac:dyDescent="0.3">
      <c r="B44" s="175">
        <v>5</v>
      </c>
      <c r="C44" s="176" t="s">
        <v>67</v>
      </c>
      <c r="D44" s="176" t="s">
        <v>377</v>
      </c>
      <c r="E44" s="181" t="s">
        <v>68</v>
      </c>
      <c r="F44" s="176">
        <v>3</v>
      </c>
      <c r="G44" s="176" t="s">
        <v>9</v>
      </c>
      <c r="H44" s="176"/>
      <c r="I44" s="176"/>
    </row>
    <row r="45" spans="2:11" ht="15.75" thickBot="1" x14ac:dyDescent="0.3">
      <c r="B45" s="175">
        <v>6</v>
      </c>
      <c r="C45" s="176" t="s">
        <v>69</v>
      </c>
      <c r="D45" s="176" t="s">
        <v>378</v>
      </c>
      <c r="E45" s="181" t="s">
        <v>70</v>
      </c>
      <c r="F45" s="176">
        <v>3</v>
      </c>
      <c r="G45" s="176" t="s">
        <v>9</v>
      </c>
      <c r="H45" s="176"/>
      <c r="I45" s="176"/>
    </row>
    <row r="46" spans="2:11" ht="15.75" thickBot="1" x14ac:dyDescent="0.3">
      <c r="B46" s="178">
        <v>7</v>
      </c>
      <c r="C46" s="183" t="s">
        <v>295</v>
      </c>
      <c r="D46" s="183" t="s">
        <v>379</v>
      </c>
      <c r="E46" s="179" t="s">
        <v>296</v>
      </c>
      <c r="F46" s="183">
        <v>3</v>
      </c>
      <c r="G46" s="183" t="s">
        <v>9</v>
      </c>
      <c r="H46" s="180" t="s">
        <v>297</v>
      </c>
      <c r="I46" s="183"/>
    </row>
    <row r="47" spans="2:11" ht="15.75" thickBot="1" x14ac:dyDescent="0.3">
      <c r="B47" s="175">
        <v>8</v>
      </c>
      <c r="C47" s="176" t="s">
        <v>72</v>
      </c>
      <c r="D47" s="176" t="s">
        <v>421</v>
      </c>
      <c r="E47" s="181" t="s">
        <v>73</v>
      </c>
      <c r="F47" s="176">
        <v>2</v>
      </c>
      <c r="G47" s="176" t="s">
        <v>9</v>
      </c>
      <c r="H47" s="176"/>
      <c r="I47" s="176"/>
      <c r="J47" s="358"/>
      <c r="K47" s="358"/>
    </row>
    <row r="48" spans="2:11" ht="15.75" thickBot="1" x14ac:dyDescent="0.3">
      <c r="B48" s="175"/>
      <c r="C48" s="182"/>
      <c r="D48" s="182"/>
      <c r="E48" s="172" t="s">
        <v>166</v>
      </c>
      <c r="F48" s="176">
        <f>SUM(F40:F47)</f>
        <v>22</v>
      </c>
      <c r="G48" s="182"/>
      <c r="H48" s="176"/>
    </row>
    <row r="49" spans="2:10" x14ac:dyDescent="0.25">
      <c r="B49" s="414" t="s">
        <v>74</v>
      </c>
      <c r="C49" s="415"/>
      <c r="D49" s="415"/>
      <c r="E49" s="415"/>
      <c r="F49" s="415"/>
      <c r="G49" s="415"/>
      <c r="H49" s="416"/>
    </row>
    <row r="50" spans="2:10" ht="15.75" thickBot="1" x14ac:dyDescent="0.3">
      <c r="B50" s="417"/>
      <c r="C50" s="418"/>
      <c r="D50" s="418"/>
      <c r="E50" s="418"/>
      <c r="F50" s="418"/>
      <c r="G50" s="418"/>
      <c r="H50" s="419"/>
    </row>
    <row r="51" spans="2:10" ht="15.75" thickBot="1" x14ac:dyDescent="0.3">
      <c r="B51" s="175">
        <v>1</v>
      </c>
      <c r="C51" s="360" t="s">
        <v>298</v>
      </c>
      <c r="D51" s="360" t="s">
        <v>420</v>
      </c>
      <c r="E51" s="179" t="s">
        <v>184</v>
      </c>
      <c r="F51" s="185">
        <v>2</v>
      </c>
      <c r="G51" s="185" t="s">
        <v>9</v>
      </c>
      <c r="H51" s="186" t="s">
        <v>299</v>
      </c>
      <c r="I51" s="176"/>
    </row>
    <row r="52" spans="2:10" ht="15.75" thickBot="1" x14ac:dyDescent="0.3">
      <c r="B52" s="175">
        <v>2</v>
      </c>
      <c r="C52" s="176" t="s">
        <v>77</v>
      </c>
      <c r="D52" s="176" t="s">
        <v>380</v>
      </c>
      <c r="E52" s="181" t="s">
        <v>300</v>
      </c>
      <c r="F52" s="176">
        <v>3</v>
      </c>
      <c r="G52" s="176" t="s">
        <v>9</v>
      </c>
      <c r="H52" s="176"/>
      <c r="I52" s="176"/>
    </row>
    <row r="53" spans="2:10" ht="15.75" thickBot="1" x14ac:dyDescent="0.3">
      <c r="B53" s="175">
        <v>3</v>
      </c>
      <c r="C53" s="176" t="s">
        <v>79</v>
      </c>
      <c r="D53" s="176" t="s">
        <v>381</v>
      </c>
      <c r="E53" s="181" t="s">
        <v>80</v>
      </c>
      <c r="F53" s="176">
        <v>3</v>
      </c>
      <c r="G53" s="176" t="s">
        <v>9</v>
      </c>
      <c r="H53" s="176"/>
      <c r="I53" s="176"/>
    </row>
    <row r="54" spans="2:10" ht="15.75" thickBot="1" x14ac:dyDescent="0.3">
      <c r="B54" s="175">
        <v>4</v>
      </c>
      <c r="C54" s="176" t="s">
        <v>81</v>
      </c>
      <c r="D54" s="176" t="s">
        <v>382</v>
      </c>
      <c r="E54" s="177" t="s">
        <v>301</v>
      </c>
      <c r="F54" s="176">
        <v>3</v>
      </c>
      <c r="G54" s="176" t="s">
        <v>9</v>
      </c>
      <c r="H54" s="176"/>
      <c r="I54" s="176"/>
    </row>
    <row r="55" spans="2:10" ht="15.75" thickBot="1" x14ac:dyDescent="0.3">
      <c r="B55" s="175">
        <v>5</v>
      </c>
      <c r="C55" s="176" t="s">
        <v>83</v>
      </c>
      <c r="D55" s="176" t="s">
        <v>383</v>
      </c>
      <c r="E55" s="177" t="s">
        <v>302</v>
      </c>
      <c r="F55" s="176">
        <v>3</v>
      </c>
      <c r="G55" s="176" t="s">
        <v>9</v>
      </c>
      <c r="H55" s="176"/>
      <c r="I55" s="176"/>
    </row>
    <row r="56" spans="2:10" ht="15.75" thickBot="1" x14ac:dyDescent="0.3">
      <c r="B56" s="175">
        <v>6</v>
      </c>
      <c r="C56" s="360" t="s">
        <v>403</v>
      </c>
      <c r="D56" s="360" t="s">
        <v>404</v>
      </c>
      <c r="E56" s="181" t="s">
        <v>86</v>
      </c>
      <c r="F56" s="176">
        <v>2</v>
      </c>
      <c r="G56" s="176" t="s">
        <v>9</v>
      </c>
      <c r="H56" s="176" t="s">
        <v>303</v>
      </c>
      <c r="I56" s="176"/>
      <c r="J56" s="358"/>
    </row>
    <row r="57" spans="2:10" ht="15.75" thickBot="1" x14ac:dyDescent="0.3">
      <c r="B57" s="178">
        <v>7</v>
      </c>
      <c r="C57" s="361" t="s">
        <v>87</v>
      </c>
      <c r="D57" s="361" t="s">
        <v>384</v>
      </c>
      <c r="E57" s="184" t="s">
        <v>304</v>
      </c>
      <c r="F57" s="183">
        <v>3</v>
      </c>
      <c r="G57" s="183" t="s">
        <v>9</v>
      </c>
      <c r="H57" s="180" t="s">
        <v>297</v>
      </c>
      <c r="I57" s="183"/>
    </row>
    <row r="58" spans="2:10" ht="15.75" thickBot="1" x14ac:dyDescent="0.3">
      <c r="B58" s="175">
        <v>8</v>
      </c>
      <c r="C58" s="176" t="s">
        <v>88</v>
      </c>
      <c r="D58" s="176" t="s">
        <v>385</v>
      </c>
      <c r="E58" s="181" t="s">
        <v>89</v>
      </c>
      <c r="F58" s="176">
        <v>3</v>
      </c>
      <c r="G58" s="176" t="s">
        <v>9</v>
      </c>
      <c r="H58" s="176"/>
      <c r="I58" s="176"/>
    </row>
    <row r="59" spans="2:10" ht="15.75" thickBot="1" x14ac:dyDescent="0.3">
      <c r="B59" s="175"/>
      <c r="C59" s="182"/>
      <c r="D59" s="182"/>
      <c r="E59" s="172" t="s">
        <v>166</v>
      </c>
      <c r="F59" s="176">
        <v>22</v>
      </c>
      <c r="G59" s="182"/>
      <c r="H59" s="176"/>
    </row>
    <row r="60" spans="2:10" x14ac:dyDescent="0.25">
      <c r="B60" s="414" t="s">
        <v>90</v>
      </c>
      <c r="C60" s="415"/>
      <c r="D60" s="415"/>
      <c r="E60" s="415"/>
      <c r="F60" s="415"/>
      <c r="G60" s="415"/>
      <c r="H60" s="416"/>
    </row>
    <row r="61" spans="2:10" ht="15.75" thickBot="1" x14ac:dyDescent="0.3">
      <c r="B61" s="417"/>
      <c r="C61" s="418"/>
      <c r="D61" s="418"/>
      <c r="E61" s="418"/>
      <c r="F61" s="418"/>
      <c r="G61" s="418"/>
      <c r="H61" s="419"/>
    </row>
    <row r="62" spans="2:10" ht="15.75" thickBot="1" x14ac:dyDescent="0.3">
      <c r="B62" s="175">
        <v>1</v>
      </c>
      <c r="C62" s="176" t="s">
        <v>91</v>
      </c>
      <c r="D62" s="176" t="s">
        <v>386</v>
      </c>
      <c r="E62" s="181" t="s">
        <v>92</v>
      </c>
      <c r="F62" s="176">
        <v>3</v>
      </c>
      <c r="G62" s="176" t="s">
        <v>9</v>
      </c>
      <c r="H62" s="176"/>
      <c r="I62" s="176"/>
    </row>
    <row r="63" spans="2:10" ht="15.75" thickBot="1" x14ac:dyDescent="0.3">
      <c r="B63" s="175">
        <v>2</v>
      </c>
      <c r="C63" s="176" t="s">
        <v>93</v>
      </c>
      <c r="D63" s="176" t="s">
        <v>387</v>
      </c>
      <c r="E63" s="177" t="s">
        <v>305</v>
      </c>
      <c r="F63" s="176">
        <v>3</v>
      </c>
      <c r="G63" s="176" t="s">
        <v>9</v>
      </c>
      <c r="H63" s="176"/>
      <c r="I63" s="176"/>
    </row>
    <row r="64" spans="2:10" ht="15.75" thickBot="1" x14ac:dyDescent="0.3">
      <c r="B64" s="175">
        <v>3</v>
      </c>
      <c r="C64" s="360" t="s">
        <v>127</v>
      </c>
      <c r="D64" s="360" t="s">
        <v>388</v>
      </c>
      <c r="E64" s="181" t="s">
        <v>128</v>
      </c>
      <c r="F64" s="176">
        <v>3</v>
      </c>
      <c r="G64" s="176" t="s">
        <v>9</v>
      </c>
      <c r="H64" s="176"/>
      <c r="I64" s="176"/>
    </row>
    <row r="65" spans="2:10" ht="15.75" thickBot="1" x14ac:dyDescent="0.3">
      <c r="B65" s="175">
        <v>4</v>
      </c>
      <c r="C65" s="176" t="s">
        <v>97</v>
      </c>
      <c r="D65" s="176" t="s">
        <v>389</v>
      </c>
      <c r="E65" s="177" t="s">
        <v>306</v>
      </c>
      <c r="F65" s="176">
        <v>3</v>
      </c>
      <c r="G65" s="176" t="s">
        <v>9</v>
      </c>
      <c r="H65" s="176"/>
      <c r="I65" s="176"/>
    </row>
    <row r="66" spans="2:10" ht="15.75" thickBot="1" x14ac:dyDescent="0.3">
      <c r="B66" s="175">
        <v>5</v>
      </c>
      <c r="C66" s="176" t="s">
        <v>99</v>
      </c>
      <c r="D66" s="176" t="s">
        <v>390</v>
      </c>
      <c r="E66" s="177" t="s">
        <v>307</v>
      </c>
      <c r="F66" s="176">
        <v>3</v>
      </c>
      <c r="G66" s="176" t="s">
        <v>9</v>
      </c>
      <c r="H66" s="176"/>
      <c r="I66" s="176"/>
    </row>
    <row r="67" spans="2:10" ht="15.75" thickBot="1" x14ac:dyDescent="0.3">
      <c r="B67" s="175">
        <v>6</v>
      </c>
      <c r="C67" s="176" t="s">
        <v>101</v>
      </c>
      <c r="D67" s="176" t="s">
        <v>391</v>
      </c>
      <c r="E67" s="177" t="s">
        <v>308</v>
      </c>
      <c r="F67" s="176">
        <v>3</v>
      </c>
      <c r="G67" s="176" t="s">
        <v>9</v>
      </c>
      <c r="H67" s="176"/>
      <c r="I67" s="176"/>
    </row>
    <row r="68" spans="2:10" ht="15.75" thickBot="1" x14ac:dyDescent="0.3">
      <c r="B68" s="175">
        <v>7</v>
      </c>
      <c r="C68" s="182"/>
      <c r="D68" s="182"/>
      <c r="E68" s="181" t="s">
        <v>103</v>
      </c>
      <c r="F68" s="182"/>
      <c r="G68" s="182"/>
      <c r="H68" s="176"/>
    </row>
    <row r="69" spans="2:10" ht="15.75" thickBot="1" x14ac:dyDescent="0.3">
      <c r="B69" s="175"/>
      <c r="C69" s="182"/>
      <c r="D69" s="182"/>
      <c r="E69" s="187" t="s">
        <v>104</v>
      </c>
      <c r="F69" s="182"/>
      <c r="G69" s="182"/>
      <c r="H69" s="176"/>
    </row>
    <row r="70" spans="2:10" ht="15.75" thickBot="1" x14ac:dyDescent="0.3">
      <c r="B70" s="175"/>
      <c r="C70" s="182"/>
      <c r="D70" s="182"/>
      <c r="E70" s="181" t="s">
        <v>169</v>
      </c>
      <c r="F70" s="182"/>
      <c r="G70" s="182"/>
      <c r="H70" s="181"/>
    </row>
    <row r="71" spans="2:10" ht="15.75" thickBot="1" x14ac:dyDescent="0.3">
      <c r="B71" s="175"/>
      <c r="C71" s="182"/>
      <c r="D71" s="182"/>
      <c r="E71" s="181" t="s">
        <v>170</v>
      </c>
      <c r="F71" s="182"/>
      <c r="G71" s="182"/>
      <c r="H71" s="181"/>
    </row>
    <row r="72" spans="2:10" ht="15.75" thickBot="1" x14ac:dyDescent="0.3">
      <c r="B72" s="175"/>
      <c r="C72" s="182"/>
      <c r="D72" s="182"/>
      <c r="E72" s="181" t="s">
        <v>163</v>
      </c>
      <c r="F72" s="182"/>
      <c r="G72" s="182"/>
      <c r="H72" s="181"/>
    </row>
    <row r="73" spans="2:10" ht="15.75" thickBot="1" x14ac:dyDescent="0.3">
      <c r="B73" s="175"/>
      <c r="C73" s="182"/>
      <c r="D73" s="182"/>
      <c r="E73" s="181" t="s">
        <v>164</v>
      </c>
      <c r="F73" s="182"/>
      <c r="G73" s="182"/>
      <c r="H73" s="181"/>
    </row>
    <row r="74" spans="2:10" ht="15.75" thickBot="1" x14ac:dyDescent="0.3">
      <c r="B74" s="175"/>
      <c r="C74" s="182"/>
      <c r="D74" s="182"/>
      <c r="E74" s="181" t="s">
        <v>173</v>
      </c>
      <c r="F74" s="182"/>
      <c r="G74" s="182"/>
      <c r="H74" s="181"/>
    </row>
    <row r="75" spans="2:10" ht="15.75" thickBot="1" x14ac:dyDescent="0.3">
      <c r="B75" s="175"/>
      <c r="C75" s="182"/>
      <c r="D75" s="357"/>
      <c r="E75" s="420" t="s">
        <v>174</v>
      </c>
      <c r="F75" s="421"/>
      <c r="G75" s="182"/>
      <c r="H75" s="181"/>
    </row>
    <row r="76" spans="2:10" ht="15.75" thickBot="1" x14ac:dyDescent="0.3">
      <c r="B76" s="175"/>
      <c r="C76" s="182"/>
      <c r="D76" s="182"/>
      <c r="E76" s="181" t="s">
        <v>171</v>
      </c>
      <c r="F76" s="182"/>
      <c r="G76" s="182"/>
      <c r="H76" s="181"/>
    </row>
    <row r="77" spans="2:10" ht="15.75" thickBot="1" x14ac:dyDescent="0.3">
      <c r="B77" s="175"/>
      <c r="C77" s="182"/>
      <c r="D77" s="182"/>
      <c r="E77" s="181" t="s">
        <v>172</v>
      </c>
      <c r="F77" s="182"/>
      <c r="G77" s="182"/>
      <c r="H77" s="181"/>
    </row>
    <row r="78" spans="2:10" ht="15.75" thickBot="1" x14ac:dyDescent="0.3">
      <c r="B78" s="175" t="s">
        <v>175</v>
      </c>
      <c r="C78" s="176" t="s">
        <v>105</v>
      </c>
      <c r="D78" s="176" t="s">
        <v>392</v>
      </c>
      <c r="E78" s="188" t="s">
        <v>106</v>
      </c>
      <c r="F78" s="422">
        <v>3</v>
      </c>
      <c r="G78" s="176" t="s">
        <v>9</v>
      </c>
      <c r="H78" s="176"/>
      <c r="I78" s="176"/>
    </row>
    <row r="79" spans="2:10" ht="15.75" thickBot="1" x14ac:dyDescent="0.3">
      <c r="B79" s="175" t="s">
        <v>176</v>
      </c>
      <c r="C79" s="176" t="s">
        <v>108</v>
      </c>
      <c r="D79" s="176" t="s">
        <v>393</v>
      </c>
      <c r="E79" s="189" t="s">
        <v>109</v>
      </c>
      <c r="F79" s="423"/>
      <c r="G79" s="176" t="s">
        <v>9</v>
      </c>
      <c r="H79" s="176"/>
      <c r="I79" s="176"/>
    </row>
    <row r="80" spans="2:10" ht="15.75" thickBot="1" x14ac:dyDescent="0.3">
      <c r="B80" s="175" t="s">
        <v>177</v>
      </c>
      <c r="C80" s="176" t="s">
        <v>110</v>
      </c>
      <c r="D80" s="176" t="s">
        <v>394</v>
      </c>
      <c r="E80" s="190" t="s">
        <v>168</v>
      </c>
      <c r="F80" s="423"/>
      <c r="G80" s="176" t="s">
        <v>9</v>
      </c>
      <c r="H80" s="176"/>
      <c r="I80" s="176"/>
      <c r="J80" s="358"/>
    </row>
    <row r="81" spans="2:10" ht="15.75" thickBot="1" x14ac:dyDescent="0.3">
      <c r="B81" s="175" t="s">
        <v>178</v>
      </c>
      <c r="C81" s="183" t="s">
        <v>309</v>
      </c>
      <c r="D81" s="183" t="s">
        <v>395</v>
      </c>
      <c r="E81" s="191" t="s">
        <v>310</v>
      </c>
      <c r="F81" s="423"/>
      <c r="G81" s="185" t="s">
        <v>9</v>
      </c>
      <c r="H81" s="180" t="s">
        <v>297</v>
      </c>
      <c r="I81" s="183"/>
    </row>
    <row r="82" spans="2:10" ht="15.75" thickBot="1" x14ac:dyDescent="0.3">
      <c r="B82" s="175" t="s">
        <v>179</v>
      </c>
      <c r="C82" s="176" t="s">
        <v>113</v>
      </c>
      <c r="D82" s="176" t="s">
        <v>396</v>
      </c>
      <c r="E82" s="192" t="s">
        <v>114</v>
      </c>
      <c r="F82" s="423"/>
      <c r="G82" s="176" t="s">
        <v>9</v>
      </c>
      <c r="H82" s="176"/>
      <c r="I82" s="176"/>
      <c r="J82" s="359"/>
    </row>
    <row r="83" spans="2:10" ht="15.75" thickBot="1" x14ac:dyDescent="0.3">
      <c r="B83" s="175" t="s">
        <v>180</v>
      </c>
      <c r="C83" s="176" t="s">
        <v>117</v>
      </c>
      <c r="D83" s="176" t="s">
        <v>397</v>
      </c>
      <c r="E83" s="193" t="s">
        <v>118</v>
      </c>
      <c r="F83" s="423"/>
      <c r="G83" s="176" t="s">
        <v>9</v>
      </c>
      <c r="H83" s="176"/>
      <c r="I83" s="176"/>
    </row>
    <row r="84" spans="2:10" ht="15.75" thickBot="1" x14ac:dyDescent="0.3">
      <c r="B84" s="175" t="s">
        <v>181</v>
      </c>
      <c r="C84" s="176" t="s">
        <v>115</v>
      </c>
      <c r="D84" s="176" t="s">
        <v>398</v>
      </c>
      <c r="E84" s="194" t="s">
        <v>116</v>
      </c>
      <c r="F84" s="424"/>
      <c r="G84" s="182"/>
      <c r="H84" s="195"/>
      <c r="I84" s="176"/>
    </row>
    <row r="85" spans="2:10" ht="15.75" thickBot="1" x14ac:dyDescent="0.3">
      <c r="B85" s="175"/>
      <c r="C85" s="182"/>
      <c r="D85" s="182"/>
      <c r="E85" s="181" t="s">
        <v>119</v>
      </c>
      <c r="F85" s="182"/>
      <c r="G85" s="182"/>
      <c r="H85" s="176"/>
    </row>
    <row r="86" spans="2:10" ht="15.75" thickBot="1" x14ac:dyDescent="0.3">
      <c r="B86" s="175"/>
      <c r="C86" s="182"/>
      <c r="D86" s="182"/>
      <c r="E86" s="172" t="s">
        <v>166</v>
      </c>
      <c r="F86" s="176">
        <v>21</v>
      </c>
      <c r="G86" s="182"/>
      <c r="H86" s="176"/>
    </row>
    <row r="87" spans="2:10" x14ac:dyDescent="0.25">
      <c r="B87" s="414" t="s">
        <v>120</v>
      </c>
      <c r="C87" s="415"/>
      <c r="D87" s="415"/>
      <c r="E87" s="415"/>
      <c r="F87" s="415"/>
      <c r="G87" s="415"/>
      <c r="H87" s="416"/>
    </row>
    <row r="88" spans="2:10" ht="15.75" thickBot="1" x14ac:dyDescent="0.3">
      <c r="B88" s="417"/>
      <c r="C88" s="418"/>
      <c r="D88" s="418"/>
      <c r="E88" s="418"/>
      <c r="F88" s="418"/>
      <c r="G88" s="418"/>
      <c r="H88" s="419"/>
    </row>
    <row r="89" spans="2:10" ht="15.75" thickBot="1" x14ac:dyDescent="0.3">
      <c r="B89" s="175">
        <v>1</v>
      </c>
      <c r="C89" s="176" t="s">
        <v>121</v>
      </c>
      <c r="D89" s="176" t="s">
        <v>399</v>
      </c>
      <c r="E89" s="177" t="s">
        <v>311</v>
      </c>
      <c r="F89" s="176">
        <v>3</v>
      </c>
      <c r="G89" s="176" t="s">
        <v>9</v>
      </c>
      <c r="H89" s="176"/>
      <c r="I89" s="176"/>
    </row>
    <row r="90" spans="2:10" ht="15.75" thickBot="1" x14ac:dyDescent="0.3">
      <c r="B90" s="175">
        <v>2</v>
      </c>
      <c r="C90" s="176" t="s">
        <v>123</v>
      </c>
      <c r="D90" s="176" t="s">
        <v>400</v>
      </c>
      <c r="E90" s="177" t="s">
        <v>312</v>
      </c>
      <c r="F90" s="176">
        <v>3</v>
      </c>
      <c r="G90" s="176" t="s">
        <v>9</v>
      </c>
      <c r="H90" s="176"/>
      <c r="I90" s="176"/>
    </row>
    <row r="91" spans="2:10" ht="15.75" thickBot="1" x14ac:dyDescent="0.3">
      <c r="B91" s="175">
        <v>3</v>
      </c>
      <c r="C91" s="176" t="s">
        <v>125</v>
      </c>
      <c r="D91" s="176" t="s">
        <v>401</v>
      </c>
      <c r="E91" s="177" t="s">
        <v>313</v>
      </c>
      <c r="F91" s="176">
        <v>3</v>
      </c>
      <c r="G91" s="176" t="s">
        <v>9</v>
      </c>
      <c r="H91" s="176"/>
      <c r="I91" s="176"/>
    </row>
    <row r="92" spans="2:10" ht="15.75" thickBot="1" x14ac:dyDescent="0.3">
      <c r="B92" s="175">
        <v>4</v>
      </c>
      <c r="C92" s="176" t="s">
        <v>95</v>
      </c>
      <c r="D92" s="176" t="s">
        <v>402</v>
      </c>
      <c r="E92" s="177" t="s">
        <v>314</v>
      </c>
      <c r="F92" s="176">
        <v>3</v>
      </c>
      <c r="G92" s="176" t="s">
        <v>9</v>
      </c>
      <c r="H92" s="176"/>
      <c r="I92" s="176"/>
    </row>
    <row r="93" spans="2:10" ht="15.75" thickBot="1" x14ac:dyDescent="0.3">
      <c r="B93" s="175" t="s">
        <v>130</v>
      </c>
      <c r="C93" s="182"/>
      <c r="D93" s="182"/>
      <c r="E93" s="196" t="s">
        <v>129</v>
      </c>
      <c r="F93" s="182"/>
      <c r="G93" s="182"/>
      <c r="H93" s="176"/>
    </row>
    <row r="94" spans="2:10" ht="15.75" thickBot="1" x14ac:dyDescent="0.3">
      <c r="B94" s="409" t="s">
        <v>175</v>
      </c>
      <c r="C94" s="176" t="s">
        <v>131</v>
      </c>
      <c r="D94" s="176" t="s">
        <v>405</v>
      </c>
      <c r="E94" s="188" t="s">
        <v>132</v>
      </c>
      <c r="F94" s="176">
        <v>3</v>
      </c>
      <c r="G94" s="176" t="s">
        <v>9</v>
      </c>
      <c r="H94" s="176"/>
      <c r="I94" s="176"/>
      <c r="J94" s="359"/>
    </row>
    <row r="95" spans="2:10" ht="15.75" thickBot="1" x14ac:dyDescent="0.3">
      <c r="B95" s="410"/>
      <c r="C95" s="176" t="s">
        <v>315</v>
      </c>
      <c r="D95" s="176" t="s">
        <v>406</v>
      </c>
      <c r="E95" s="199" t="s">
        <v>185</v>
      </c>
      <c r="F95" s="185">
        <v>3</v>
      </c>
      <c r="G95" s="185" t="s">
        <v>9</v>
      </c>
      <c r="H95" s="186" t="s">
        <v>299</v>
      </c>
      <c r="I95" s="176"/>
    </row>
    <row r="96" spans="2:10" ht="15.75" thickBot="1" x14ac:dyDescent="0.3">
      <c r="B96" s="409" t="s">
        <v>176</v>
      </c>
      <c r="C96" s="176" t="s">
        <v>135</v>
      </c>
      <c r="D96" s="176" t="s">
        <v>408</v>
      </c>
      <c r="E96" s="200" t="s">
        <v>136</v>
      </c>
      <c r="F96" s="176">
        <v>3</v>
      </c>
      <c r="G96" s="176" t="s">
        <v>9</v>
      </c>
      <c r="H96" s="176"/>
      <c r="I96" s="176"/>
    </row>
    <row r="97" spans="2:10" ht="15.75" thickBot="1" x14ac:dyDescent="0.3">
      <c r="B97" s="410"/>
      <c r="C97" s="176" t="s">
        <v>137</v>
      </c>
      <c r="D97" s="176" t="s">
        <v>407</v>
      </c>
      <c r="E97" s="200" t="s">
        <v>138</v>
      </c>
      <c r="F97" s="176">
        <v>3</v>
      </c>
      <c r="G97" s="176" t="s">
        <v>9</v>
      </c>
      <c r="H97" s="176"/>
      <c r="I97" s="176"/>
    </row>
    <row r="98" spans="2:10" ht="15.75" thickBot="1" x14ac:dyDescent="0.3">
      <c r="B98" s="409" t="s">
        <v>186</v>
      </c>
      <c r="C98" s="176" t="s">
        <v>139</v>
      </c>
      <c r="D98" s="176" t="s">
        <v>409</v>
      </c>
      <c r="E98" s="201" t="s">
        <v>316</v>
      </c>
      <c r="F98" s="176">
        <v>3</v>
      </c>
      <c r="G98" s="176" t="s">
        <v>9</v>
      </c>
      <c r="H98" s="176" t="s">
        <v>317</v>
      </c>
      <c r="I98" s="176"/>
      <c r="J98" s="358"/>
    </row>
    <row r="99" spans="2:10" ht="15.75" thickBot="1" x14ac:dyDescent="0.3">
      <c r="B99" s="410"/>
      <c r="C99" s="176" t="s">
        <v>141</v>
      </c>
      <c r="D99" s="176" t="s">
        <v>410</v>
      </c>
      <c r="E99" s="201" t="s">
        <v>142</v>
      </c>
      <c r="F99" s="176">
        <v>3</v>
      </c>
      <c r="G99" s="176" t="s">
        <v>9</v>
      </c>
      <c r="H99" s="176"/>
      <c r="I99" s="176"/>
    </row>
    <row r="100" spans="2:10" ht="15.75" thickBot="1" x14ac:dyDescent="0.3">
      <c r="B100" s="409" t="s">
        <v>187</v>
      </c>
      <c r="C100" s="176" t="s">
        <v>143</v>
      </c>
      <c r="D100" s="176" t="s">
        <v>411</v>
      </c>
      <c r="E100" s="202" t="s">
        <v>144</v>
      </c>
      <c r="F100" s="176">
        <v>3</v>
      </c>
      <c r="G100" s="176" t="s">
        <v>9</v>
      </c>
      <c r="H100" s="176"/>
      <c r="I100" s="176"/>
    </row>
    <row r="101" spans="2:10" ht="15.75" thickBot="1" x14ac:dyDescent="0.3">
      <c r="B101" s="410"/>
      <c r="C101" s="176" t="s">
        <v>145</v>
      </c>
      <c r="D101" s="176" t="s">
        <v>412</v>
      </c>
      <c r="E101" s="202" t="s">
        <v>146</v>
      </c>
      <c r="F101" s="176">
        <v>3</v>
      </c>
      <c r="G101" s="176" t="s">
        <v>9</v>
      </c>
      <c r="H101" s="176"/>
      <c r="I101" s="176"/>
    </row>
    <row r="102" spans="2:10" ht="15.75" thickBot="1" x14ac:dyDescent="0.3">
      <c r="B102" s="409" t="s">
        <v>178</v>
      </c>
      <c r="C102" s="183" t="s">
        <v>147</v>
      </c>
      <c r="D102" s="183" t="s">
        <v>413</v>
      </c>
      <c r="E102" s="191" t="s">
        <v>148</v>
      </c>
      <c r="F102" s="183">
        <v>3</v>
      </c>
      <c r="G102" s="183" t="s">
        <v>9</v>
      </c>
      <c r="H102" s="180"/>
      <c r="I102" s="183"/>
    </row>
    <row r="103" spans="2:10" ht="15.75" thickBot="1" x14ac:dyDescent="0.3">
      <c r="B103" s="410"/>
      <c r="C103" s="183" t="s">
        <v>111</v>
      </c>
      <c r="D103" s="183" t="s">
        <v>414</v>
      </c>
      <c r="E103" s="191" t="s">
        <v>190</v>
      </c>
      <c r="F103" s="183">
        <v>3</v>
      </c>
      <c r="G103" s="183" t="s">
        <v>9</v>
      </c>
      <c r="H103" s="180"/>
      <c r="I103" s="183"/>
    </row>
    <row r="104" spans="2:10" ht="15.75" thickBot="1" x14ac:dyDescent="0.3">
      <c r="B104" s="409" t="s">
        <v>179</v>
      </c>
      <c r="C104" s="176" t="s">
        <v>151</v>
      </c>
      <c r="D104" s="176" t="s">
        <v>415</v>
      </c>
      <c r="E104" s="192" t="s">
        <v>152</v>
      </c>
      <c r="F104" s="176">
        <v>3</v>
      </c>
      <c r="G104" s="176" t="s">
        <v>9</v>
      </c>
      <c r="H104" s="176"/>
      <c r="I104" s="176"/>
    </row>
    <row r="105" spans="2:10" ht="15.75" thickBot="1" x14ac:dyDescent="0.3">
      <c r="B105" s="410"/>
      <c r="C105" s="176" t="s">
        <v>153</v>
      </c>
      <c r="D105" s="176" t="s">
        <v>416</v>
      </c>
      <c r="E105" s="192" t="s">
        <v>154</v>
      </c>
      <c r="F105" s="176">
        <v>3</v>
      </c>
      <c r="G105" s="176" t="s">
        <v>9</v>
      </c>
      <c r="H105" s="176"/>
      <c r="I105" s="176"/>
    </row>
    <row r="106" spans="2:10" ht="15.75" thickBot="1" x14ac:dyDescent="0.3">
      <c r="B106" s="409" t="s">
        <v>180</v>
      </c>
      <c r="C106" s="176" t="s">
        <v>155</v>
      </c>
      <c r="D106" s="176" t="s">
        <v>417</v>
      </c>
      <c r="E106" s="193" t="s">
        <v>156</v>
      </c>
      <c r="F106" s="176">
        <v>3</v>
      </c>
      <c r="G106" s="176" t="s">
        <v>9</v>
      </c>
      <c r="H106" s="176"/>
      <c r="I106" s="176"/>
    </row>
    <row r="107" spans="2:10" ht="15.75" thickBot="1" x14ac:dyDescent="0.3">
      <c r="B107" s="410"/>
      <c r="C107" s="176" t="s">
        <v>157</v>
      </c>
      <c r="D107" s="176" t="s">
        <v>418</v>
      </c>
      <c r="E107" s="193" t="s">
        <v>158</v>
      </c>
      <c r="F107" s="176">
        <v>3</v>
      </c>
      <c r="G107" s="176" t="s">
        <v>9</v>
      </c>
      <c r="H107" s="176"/>
      <c r="I107" s="176"/>
    </row>
    <row r="108" spans="2:10" ht="15.75" thickBot="1" x14ac:dyDescent="0.3">
      <c r="B108" s="409" t="s">
        <v>181</v>
      </c>
      <c r="C108" s="176" t="s">
        <v>159</v>
      </c>
      <c r="D108" s="176" t="s">
        <v>419</v>
      </c>
      <c r="E108" s="194" t="s">
        <v>160</v>
      </c>
      <c r="F108" s="176">
        <v>3</v>
      </c>
      <c r="G108" s="176" t="s">
        <v>9</v>
      </c>
      <c r="H108" s="176"/>
      <c r="I108" s="176"/>
    </row>
    <row r="109" spans="2:10" ht="15.75" thickBot="1" x14ac:dyDescent="0.3">
      <c r="B109" s="410"/>
      <c r="C109" s="176" t="s">
        <v>143</v>
      </c>
      <c r="D109" s="176" t="s">
        <v>411</v>
      </c>
      <c r="E109" s="194" t="s">
        <v>144</v>
      </c>
      <c r="F109" s="176">
        <v>3</v>
      </c>
      <c r="G109" s="176" t="s">
        <v>9</v>
      </c>
      <c r="H109" s="176"/>
      <c r="I109" s="176"/>
    </row>
    <row r="110" spans="2:10" ht="15.75" thickBot="1" x14ac:dyDescent="0.3">
      <c r="B110" s="175"/>
      <c r="C110" s="182"/>
      <c r="D110" s="182"/>
      <c r="E110" s="172" t="s">
        <v>166</v>
      </c>
      <c r="F110" s="176">
        <v>18</v>
      </c>
      <c r="G110" s="182"/>
      <c r="H110" s="176"/>
    </row>
    <row r="111" spans="2:10" x14ac:dyDescent="0.25">
      <c r="B111" s="414" t="s">
        <v>183</v>
      </c>
      <c r="C111" s="415"/>
      <c r="D111" s="415"/>
      <c r="E111" s="415"/>
      <c r="F111" s="415"/>
      <c r="G111" s="415"/>
      <c r="H111" s="416"/>
    </row>
    <row r="112" spans="2:10" ht="15.75" thickBot="1" x14ac:dyDescent="0.3">
      <c r="B112" s="417"/>
      <c r="C112" s="418"/>
      <c r="D112" s="418"/>
      <c r="E112" s="418"/>
      <c r="F112" s="418"/>
      <c r="G112" s="418"/>
      <c r="H112" s="419"/>
    </row>
    <row r="113" spans="2:8" ht="15.75" thickBot="1" x14ac:dyDescent="0.3">
      <c r="B113" s="409">
        <v>1</v>
      </c>
      <c r="C113" s="182"/>
      <c r="D113" s="182"/>
      <c r="E113" s="181" t="s">
        <v>161</v>
      </c>
      <c r="F113" s="176">
        <v>6</v>
      </c>
      <c r="G113" s="176" t="s">
        <v>9</v>
      </c>
      <c r="H113" s="176"/>
    </row>
    <row r="114" spans="2:8" ht="15.75" thickBot="1" x14ac:dyDescent="0.3">
      <c r="B114" s="410"/>
      <c r="C114" s="182"/>
      <c r="D114" s="182"/>
      <c r="E114" s="181" t="s">
        <v>162</v>
      </c>
      <c r="F114" s="176">
        <v>6</v>
      </c>
      <c r="G114" s="176" t="s">
        <v>9</v>
      </c>
      <c r="H114" s="176"/>
    </row>
    <row r="115" spans="2:8" ht="15.75" thickBot="1" x14ac:dyDescent="0.3">
      <c r="B115" s="175"/>
      <c r="C115" s="182"/>
      <c r="D115" s="182"/>
      <c r="E115" s="172" t="s">
        <v>166</v>
      </c>
      <c r="F115" s="176">
        <v>6</v>
      </c>
      <c r="G115" s="182"/>
      <c r="H115" s="176"/>
    </row>
    <row r="116" spans="2:8" ht="15.75" thickBot="1" x14ac:dyDescent="0.3">
      <c r="B116" s="203"/>
      <c r="C116" s="204"/>
      <c r="D116" s="204"/>
      <c r="E116" s="204" t="s">
        <v>167</v>
      </c>
      <c r="F116" s="204">
        <v>149</v>
      </c>
      <c r="G116" s="204"/>
      <c r="H116" s="204"/>
    </row>
    <row r="117" spans="2:8" ht="15.75" thickBot="1" x14ac:dyDescent="0.3">
      <c r="B117" s="425" t="s">
        <v>318</v>
      </c>
      <c r="C117" s="426"/>
      <c r="D117" s="426"/>
      <c r="E117" s="426"/>
      <c r="F117" s="426"/>
      <c r="G117" s="426"/>
      <c r="H117" s="427"/>
    </row>
    <row r="118" spans="2:8" ht="15.75" x14ac:dyDescent="0.25">
      <c r="B118" s="205"/>
    </row>
    <row r="119" spans="2:8" ht="15.75" x14ac:dyDescent="0.25">
      <c r="B119" s="205"/>
    </row>
    <row r="120" spans="2:8" ht="15.75" x14ac:dyDescent="0.25">
      <c r="B120" s="205"/>
    </row>
  </sheetData>
  <mergeCells count="21">
    <mergeCell ref="B111:H112"/>
    <mergeCell ref="B113:B114"/>
    <mergeCell ref="B117:H117"/>
    <mergeCell ref="B98:B99"/>
    <mergeCell ref="B100:B101"/>
    <mergeCell ref="B102:B103"/>
    <mergeCell ref="B104:B105"/>
    <mergeCell ref="B106:B107"/>
    <mergeCell ref="B108:B109"/>
    <mergeCell ref="B96:B97"/>
    <mergeCell ref="B3:H3"/>
    <mergeCell ref="B5:H6"/>
    <mergeCell ref="B16:H17"/>
    <mergeCell ref="B27:H28"/>
    <mergeCell ref="B38:H39"/>
    <mergeCell ref="B49:H50"/>
    <mergeCell ref="B60:H61"/>
    <mergeCell ref="E75:F75"/>
    <mergeCell ref="F78:F84"/>
    <mergeCell ref="B87:H88"/>
    <mergeCell ref="B94:B9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8"/>
  <sheetViews>
    <sheetView showGridLines="0" tabSelected="1" topLeftCell="A10" zoomScale="90" zoomScaleNormal="90" workbookViewId="0">
      <selection activeCell="R35" sqref="R35"/>
    </sheetView>
  </sheetViews>
  <sheetFormatPr defaultRowHeight="12.75" x14ac:dyDescent="0.2"/>
  <cols>
    <col min="1" max="1" width="3.42578125" style="37" customWidth="1"/>
    <col min="2" max="2" width="16.5703125" style="37" customWidth="1"/>
    <col min="3" max="3" width="4.7109375" style="37" customWidth="1"/>
    <col min="4" max="4" width="4.5703125" style="37" customWidth="1"/>
    <col min="5" max="5" width="16.85546875" style="37" customWidth="1"/>
    <col min="6" max="6" width="4.7109375" style="37" customWidth="1"/>
    <col min="7" max="7" width="5.28515625" style="37" customWidth="1"/>
    <col min="8" max="8" width="17.140625" style="37" customWidth="1"/>
    <col min="9" max="9" width="4.7109375" style="37" customWidth="1"/>
    <col min="10" max="10" width="5.42578125" style="37" customWidth="1"/>
    <col min="11" max="11" width="16.7109375" style="37" customWidth="1"/>
    <col min="12" max="13" width="4.7109375" style="37" customWidth="1"/>
    <col min="14" max="14" width="16.7109375" style="37" customWidth="1"/>
    <col min="15" max="15" width="4.7109375" style="37" customWidth="1"/>
    <col min="16" max="16" width="2.140625" style="37" customWidth="1"/>
    <col min="17" max="17" width="4.28515625" style="37" customWidth="1"/>
    <col min="18" max="18" width="20" style="130" customWidth="1"/>
    <col min="19" max="19" width="4.7109375" style="37" customWidth="1"/>
    <col min="20" max="20" width="3" style="37" customWidth="1"/>
    <col min="21" max="21" width="2.42578125" style="37" customWidth="1"/>
    <col min="22" max="22" width="2.28515625" style="37" customWidth="1"/>
    <col min="23" max="23" width="20.7109375" style="130" customWidth="1"/>
    <col min="24" max="24" width="4.7109375" style="133" customWidth="1"/>
    <col min="25" max="25" width="2.85546875" style="37" customWidth="1"/>
    <col min="26" max="26" width="33.28515625" style="37" customWidth="1"/>
    <col min="27" max="27" width="3.5703125" style="37" customWidth="1"/>
    <col min="28" max="215" width="9.140625" style="37"/>
    <col min="216" max="216" width="3.42578125" style="37" customWidth="1"/>
    <col min="217" max="217" width="16.5703125" style="37" customWidth="1"/>
    <col min="218" max="218" width="4.7109375" style="37" customWidth="1"/>
    <col min="219" max="219" width="4.5703125" style="37" customWidth="1"/>
    <col min="220" max="220" width="16.85546875" style="37" customWidth="1"/>
    <col min="221" max="221" width="4.7109375" style="37" customWidth="1"/>
    <col min="222" max="222" width="5.28515625" style="37" customWidth="1"/>
    <col min="223" max="223" width="16.7109375" style="37" customWidth="1"/>
    <col min="224" max="224" width="4.7109375" style="37" customWidth="1"/>
    <col min="225" max="225" width="5.42578125" style="37" customWidth="1"/>
    <col min="226" max="226" width="16.7109375" style="37" customWidth="1"/>
    <col min="227" max="228" width="4.7109375" style="37" customWidth="1"/>
    <col min="229" max="229" width="16.7109375" style="37" customWidth="1"/>
    <col min="230" max="230" width="4.7109375" style="37" customWidth="1"/>
    <col min="231" max="231" width="2.85546875" style="37" customWidth="1"/>
    <col min="232" max="232" width="4.28515625" style="37" customWidth="1"/>
    <col min="233" max="233" width="17.140625" style="37" customWidth="1"/>
    <col min="234" max="234" width="4.7109375" style="37" customWidth="1"/>
    <col min="235" max="235" width="3" style="37" customWidth="1"/>
    <col min="236" max="236" width="2.42578125" style="37" customWidth="1"/>
    <col min="237" max="237" width="2.28515625" style="37" customWidth="1"/>
    <col min="238" max="238" width="20.7109375" style="37" customWidth="1"/>
    <col min="239" max="239" width="4.7109375" style="37" customWidth="1"/>
    <col min="240" max="240" width="2.85546875" style="37" customWidth="1"/>
    <col min="241" max="241" width="33.28515625" style="37" customWidth="1"/>
    <col min="242" max="242" width="4.7109375" style="37" customWidth="1"/>
    <col min="243" max="471" width="9.140625" style="37"/>
    <col min="472" max="472" width="3.42578125" style="37" customWidth="1"/>
    <col min="473" max="473" width="16.5703125" style="37" customWidth="1"/>
    <col min="474" max="474" width="4.7109375" style="37" customWidth="1"/>
    <col min="475" max="475" width="4.5703125" style="37" customWidth="1"/>
    <col min="476" max="476" width="16.85546875" style="37" customWidth="1"/>
    <col min="477" max="477" width="4.7109375" style="37" customWidth="1"/>
    <col min="478" max="478" width="5.28515625" style="37" customWidth="1"/>
    <col min="479" max="479" width="16.7109375" style="37" customWidth="1"/>
    <col min="480" max="480" width="4.7109375" style="37" customWidth="1"/>
    <col min="481" max="481" width="5.42578125" style="37" customWidth="1"/>
    <col min="482" max="482" width="16.7109375" style="37" customWidth="1"/>
    <col min="483" max="484" width="4.7109375" style="37" customWidth="1"/>
    <col min="485" max="485" width="16.7109375" style="37" customWidth="1"/>
    <col min="486" max="486" width="4.7109375" style="37" customWidth="1"/>
    <col min="487" max="487" width="2.85546875" style="37" customWidth="1"/>
    <col min="488" max="488" width="4.28515625" style="37" customWidth="1"/>
    <col min="489" max="489" width="17.140625" style="37" customWidth="1"/>
    <col min="490" max="490" width="4.7109375" style="37" customWidth="1"/>
    <col min="491" max="491" width="3" style="37" customWidth="1"/>
    <col min="492" max="492" width="2.42578125" style="37" customWidth="1"/>
    <col min="493" max="493" width="2.28515625" style="37" customWidth="1"/>
    <col min="494" max="494" width="20.7109375" style="37" customWidth="1"/>
    <col min="495" max="495" width="4.7109375" style="37" customWidth="1"/>
    <col min="496" max="496" width="2.85546875" style="37" customWidth="1"/>
    <col min="497" max="497" width="33.28515625" style="37" customWidth="1"/>
    <col min="498" max="498" width="4.7109375" style="37" customWidth="1"/>
    <col min="499" max="727" width="9.140625" style="37"/>
    <col min="728" max="728" width="3.42578125" style="37" customWidth="1"/>
    <col min="729" max="729" width="16.5703125" style="37" customWidth="1"/>
    <col min="730" max="730" width="4.7109375" style="37" customWidth="1"/>
    <col min="731" max="731" width="4.5703125" style="37" customWidth="1"/>
    <col min="732" max="732" width="16.85546875" style="37" customWidth="1"/>
    <col min="733" max="733" width="4.7109375" style="37" customWidth="1"/>
    <col min="734" max="734" width="5.28515625" style="37" customWidth="1"/>
    <col min="735" max="735" width="16.7109375" style="37" customWidth="1"/>
    <col min="736" max="736" width="4.7109375" style="37" customWidth="1"/>
    <col min="737" max="737" width="5.42578125" style="37" customWidth="1"/>
    <col min="738" max="738" width="16.7109375" style="37" customWidth="1"/>
    <col min="739" max="740" width="4.7109375" style="37" customWidth="1"/>
    <col min="741" max="741" width="16.7109375" style="37" customWidth="1"/>
    <col min="742" max="742" width="4.7109375" style="37" customWidth="1"/>
    <col min="743" max="743" width="2.85546875" style="37" customWidth="1"/>
    <col min="744" max="744" width="4.28515625" style="37" customWidth="1"/>
    <col min="745" max="745" width="17.140625" style="37" customWidth="1"/>
    <col min="746" max="746" width="4.7109375" style="37" customWidth="1"/>
    <col min="747" max="747" width="3" style="37" customWidth="1"/>
    <col min="748" max="748" width="2.42578125" style="37" customWidth="1"/>
    <col min="749" max="749" width="2.28515625" style="37" customWidth="1"/>
    <col min="750" max="750" width="20.7109375" style="37" customWidth="1"/>
    <col min="751" max="751" width="4.7109375" style="37" customWidth="1"/>
    <col min="752" max="752" width="2.85546875" style="37" customWidth="1"/>
    <col min="753" max="753" width="33.28515625" style="37" customWidth="1"/>
    <col min="754" max="754" width="4.7109375" style="37" customWidth="1"/>
    <col min="755" max="983" width="9.140625" style="37"/>
    <col min="984" max="984" width="3.42578125" style="37" customWidth="1"/>
    <col min="985" max="985" width="16.5703125" style="37" customWidth="1"/>
    <col min="986" max="986" width="4.7109375" style="37" customWidth="1"/>
    <col min="987" max="987" width="4.5703125" style="37" customWidth="1"/>
    <col min="988" max="988" width="16.85546875" style="37" customWidth="1"/>
    <col min="989" max="989" width="4.7109375" style="37" customWidth="1"/>
    <col min="990" max="990" width="5.28515625" style="37" customWidth="1"/>
    <col min="991" max="991" width="16.7109375" style="37" customWidth="1"/>
    <col min="992" max="992" width="4.7109375" style="37" customWidth="1"/>
    <col min="993" max="993" width="5.42578125" style="37" customWidth="1"/>
    <col min="994" max="994" width="16.7109375" style="37" customWidth="1"/>
    <col min="995" max="996" width="4.7109375" style="37" customWidth="1"/>
    <col min="997" max="997" width="16.7109375" style="37" customWidth="1"/>
    <col min="998" max="998" width="4.7109375" style="37" customWidth="1"/>
    <col min="999" max="999" width="2.85546875" style="37" customWidth="1"/>
    <col min="1000" max="1000" width="4.28515625" style="37" customWidth="1"/>
    <col min="1001" max="1001" width="17.140625" style="37" customWidth="1"/>
    <col min="1002" max="1002" width="4.7109375" style="37" customWidth="1"/>
    <col min="1003" max="1003" width="3" style="37" customWidth="1"/>
    <col min="1004" max="1004" width="2.42578125" style="37" customWidth="1"/>
    <col min="1005" max="1005" width="2.28515625" style="37" customWidth="1"/>
    <col min="1006" max="1006" width="20.7109375" style="37" customWidth="1"/>
    <col min="1007" max="1007" width="4.7109375" style="37" customWidth="1"/>
    <col min="1008" max="1008" width="2.85546875" style="37" customWidth="1"/>
    <col min="1009" max="1009" width="33.28515625" style="37" customWidth="1"/>
    <col min="1010" max="1010" width="4.7109375" style="37" customWidth="1"/>
    <col min="1011" max="1239" width="9.140625" style="37"/>
    <col min="1240" max="1240" width="3.42578125" style="37" customWidth="1"/>
    <col min="1241" max="1241" width="16.5703125" style="37" customWidth="1"/>
    <col min="1242" max="1242" width="4.7109375" style="37" customWidth="1"/>
    <col min="1243" max="1243" width="4.5703125" style="37" customWidth="1"/>
    <col min="1244" max="1244" width="16.85546875" style="37" customWidth="1"/>
    <col min="1245" max="1245" width="4.7109375" style="37" customWidth="1"/>
    <col min="1246" max="1246" width="5.28515625" style="37" customWidth="1"/>
    <col min="1247" max="1247" width="16.7109375" style="37" customWidth="1"/>
    <col min="1248" max="1248" width="4.7109375" style="37" customWidth="1"/>
    <col min="1249" max="1249" width="5.42578125" style="37" customWidth="1"/>
    <col min="1250" max="1250" width="16.7109375" style="37" customWidth="1"/>
    <col min="1251" max="1252" width="4.7109375" style="37" customWidth="1"/>
    <col min="1253" max="1253" width="16.7109375" style="37" customWidth="1"/>
    <col min="1254" max="1254" width="4.7109375" style="37" customWidth="1"/>
    <col min="1255" max="1255" width="2.85546875" style="37" customWidth="1"/>
    <col min="1256" max="1256" width="4.28515625" style="37" customWidth="1"/>
    <col min="1257" max="1257" width="17.140625" style="37" customWidth="1"/>
    <col min="1258" max="1258" width="4.7109375" style="37" customWidth="1"/>
    <col min="1259" max="1259" width="3" style="37" customWidth="1"/>
    <col min="1260" max="1260" width="2.42578125" style="37" customWidth="1"/>
    <col min="1261" max="1261" width="2.28515625" style="37" customWidth="1"/>
    <col min="1262" max="1262" width="20.7109375" style="37" customWidth="1"/>
    <col min="1263" max="1263" width="4.7109375" style="37" customWidth="1"/>
    <col min="1264" max="1264" width="2.85546875" style="37" customWidth="1"/>
    <col min="1265" max="1265" width="33.28515625" style="37" customWidth="1"/>
    <col min="1266" max="1266" width="4.7109375" style="37" customWidth="1"/>
    <col min="1267" max="1495" width="9.140625" style="37"/>
    <col min="1496" max="1496" width="3.42578125" style="37" customWidth="1"/>
    <col min="1497" max="1497" width="16.5703125" style="37" customWidth="1"/>
    <col min="1498" max="1498" width="4.7109375" style="37" customWidth="1"/>
    <col min="1499" max="1499" width="4.5703125" style="37" customWidth="1"/>
    <col min="1500" max="1500" width="16.85546875" style="37" customWidth="1"/>
    <col min="1501" max="1501" width="4.7109375" style="37" customWidth="1"/>
    <col min="1502" max="1502" width="5.28515625" style="37" customWidth="1"/>
    <col min="1503" max="1503" width="16.7109375" style="37" customWidth="1"/>
    <col min="1504" max="1504" width="4.7109375" style="37" customWidth="1"/>
    <col min="1505" max="1505" width="5.42578125" style="37" customWidth="1"/>
    <col min="1506" max="1506" width="16.7109375" style="37" customWidth="1"/>
    <col min="1507" max="1508" width="4.7109375" style="37" customWidth="1"/>
    <col min="1509" max="1509" width="16.7109375" style="37" customWidth="1"/>
    <col min="1510" max="1510" width="4.7109375" style="37" customWidth="1"/>
    <col min="1511" max="1511" width="2.85546875" style="37" customWidth="1"/>
    <col min="1512" max="1512" width="4.28515625" style="37" customWidth="1"/>
    <col min="1513" max="1513" width="17.140625" style="37" customWidth="1"/>
    <col min="1514" max="1514" width="4.7109375" style="37" customWidth="1"/>
    <col min="1515" max="1515" width="3" style="37" customWidth="1"/>
    <col min="1516" max="1516" width="2.42578125" style="37" customWidth="1"/>
    <col min="1517" max="1517" width="2.28515625" style="37" customWidth="1"/>
    <col min="1518" max="1518" width="20.7109375" style="37" customWidth="1"/>
    <col min="1519" max="1519" width="4.7109375" style="37" customWidth="1"/>
    <col min="1520" max="1520" width="2.85546875" style="37" customWidth="1"/>
    <col min="1521" max="1521" width="33.28515625" style="37" customWidth="1"/>
    <col min="1522" max="1522" width="4.7109375" style="37" customWidth="1"/>
    <col min="1523" max="1751" width="9.140625" style="37"/>
    <col min="1752" max="1752" width="3.42578125" style="37" customWidth="1"/>
    <col min="1753" max="1753" width="16.5703125" style="37" customWidth="1"/>
    <col min="1754" max="1754" width="4.7109375" style="37" customWidth="1"/>
    <col min="1755" max="1755" width="4.5703125" style="37" customWidth="1"/>
    <col min="1756" max="1756" width="16.85546875" style="37" customWidth="1"/>
    <col min="1757" max="1757" width="4.7109375" style="37" customWidth="1"/>
    <col min="1758" max="1758" width="5.28515625" style="37" customWidth="1"/>
    <col min="1759" max="1759" width="16.7109375" style="37" customWidth="1"/>
    <col min="1760" max="1760" width="4.7109375" style="37" customWidth="1"/>
    <col min="1761" max="1761" width="5.42578125" style="37" customWidth="1"/>
    <col min="1762" max="1762" width="16.7109375" style="37" customWidth="1"/>
    <col min="1763" max="1764" width="4.7109375" style="37" customWidth="1"/>
    <col min="1765" max="1765" width="16.7109375" style="37" customWidth="1"/>
    <col min="1766" max="1766" width="4.7109375" style="37" customWidth="1"/>
    <col min="1767" max="1767" width="2.85546875" style="37" customWidth="1"/>
    <col min="1768" max="1768" width="4.28515625" style="37" customWidth="1"/>
    <col min="1769" max="1769" width="17.140625" style="37" customWidth="1"/>
    <col min="1770" max="1770" width="4.7109375" style="37" customWidth="1"/>
    <col min="1771" max="1771" width="3" style="37" customWidth="1"/>
    <col min="1772" max="1772" width="2.42578125" style="37" customWidth="1"/>
    <col min="1773" max="1773" width="2.28515625" style="37" customWidth="1"/>
    <col min="1774" max="1774" width="20.7109375" style="37" customWidth="1"/>
    <col min="1775" max="1775" width="4.7109375" style="37" customWidth="1"/>
    <col min="1776" max="1776" width="2.85546875" style="37" customWidth="1"/>
    <col min="1777" max="1777" width="33.28515625" style="37" customWidth="1"/>
    <col min="1778" max="1778" width="4.7109375" style="37" customWidth="1"/>
    <col min="1779" max="2007" width="9.140625" style="37"/>
    <col min="2008" max="2008" width="3.42578125" style="37" customWidth="1"/>
    <col min="2009" max="2009" width="16.5703125" style="37" customWidth="1"/>
    <col min="2010" max="2010" width="4.7109375" style="37" customWidth="1"/>
    <col min="2011" max="2011" width="4.5703125" style="37" customWidth="1"/>
    <col min="2012" max="2012" width="16.85546875" style="37" customWidth="1"/>
    <col min="2013" max="2013" width="4.7109375" style="37" customWidth="1"/>
    <col min="2014" max="2014" width="5.28515625" style="37" customWidth="1"/>
    <col min="2015" max="2015" width="16.7109375" style="37" customWidth="1"/>
    <col min="2016" max="2016" width="4.7109375" style="37" customWidth="1"/>
    <col min="2017" max="2017" width="5.42578125" style="37" customWidth="1"/>
    <col min="2018" max="2018" width="16.7109375" style="37" customWidth="1"/>
    <col min="2019" max="2020" width="4.7109375" style="37" customWidth="1"/>
    <col min="2021" max="2021" width="16.7109375" style="37" customWidth="1"/>
    <col min="2022" max="2022" width="4.7109375" style="37" customWidth="1"/>
    <col min="2023" max="2023" width="2.85546875" style="37" customWidth="1"/>
    <col min="2024" max="2024" width="4.28515625" style="37" customWidth="1"/>
    <col min="2025" max="2025" width="17.140625" style="37" customWidth="1"/>
    <col min="2026" max="2026" width="4.7109375" style="37" customWidth="1"/>
    <col min="2027" max="2027" width="3" style="37" customWidth="1"/>
    <col min="2028" max="2028" width="2.42578125" style="37" customWidth="1"/>
    <col min="2029" max="2029" width="2.28515625" style="37" customWidth="1"/>
    <col min="2030" max="2030" width="20.7109375" style="37" customWidth="1"/>
    <col min="2031" max="2031" width="4.7109375" style="37" customWidth="1"/>
    <col min="2032" max="2032" width="2.85546875" style="37" customWidth="1"/>
    <col min="2033" max="2033" width="33.28515625" style="37" customWidth="1"/>
    <col min="2034" max="2034" width="4.7109375" style="37" customWidth="1"/>
    <col min="2035" max="2263" width="9.140625" style="37"/>
    <col min="2264" max="2264" width="3.42578125" style="37" customWidth="1"/>
    <col min="2265" max="2265" width="16.5703125" style="37" customWidth="1"/>
    <col min="2266" max="2266" width="4.7109375" style="37" customWidth="1"/>
    <col min="2267" max="2267" width="4.5703125" style="37" customWidth="1"/>
    <col min="2268" max="2268" width="16.85546875" style="37" customWidth="1"/>
    <col min="2269" max="2269" width="4.7109375" style="37" customWidth="1"/>
    <col min="2270" max="2270" width="5.28515625" style="37" customWidth="1"/>
    <col min="2271" max="2271" width="16.7109375" style="37" customWidth="1"/>
    <col min="2272" max="2272" width="4.7109375" style="37" customWidth="1"/>
    <col min="2273" max="2273" width="5.42578125" style="37" customWidth="1"/>
    <col min="2274" max="2274" width="16.7109375" style="37" customWidth="1"/>
    <col min="2275" max="2276" width="4.7109375" style="37" customWidth="1"/>
    <col min="2277" max="2277" width="16.7109375" style="37" customWidth="1"/>
    <col min="2278" max="2278" width="4.7109375" style="37" customWidth="1"/>
    <col min="2279" max="2279" width="2.85546875" style="37" customWidth="1"/>
    <col min="2280" max="2280" width="4.28515625" style="37" customWidth="1"/>
    <col min="2281" max="2281" width="17.140625" style="37" customWidth="1"/>
    <col min="2282" max="2282" width="4.7109375" style="37" customWidth="1"/>
    <col min="2283" max="2283" width="3" style="37" customWidth="1"/>
    <col min="2284" max="2284" width="2.42578125" style="37" customWidth="1"/>
    <col min="2285" max="2285" width="2.28515625" style="37" customWidth="1"/>
    <col min="2286" max="2286" width="20.7109375" style="37" customWidth="1"/>
    <col min="2287" max="2287" width="4.7109375" style="37" customWidth="1"/>
    <col min="2288" max="2288" width="2.85546875" style="37" customWidth="1"/>
    <col min="2289" max="2289" width="33.28515625" style="37" customWidth="1"/>
    <col min="2290" max="2290" width="4.7109375" style="37" customWidth="1"/>
    <col min="2291" max="2519" width="9.140625" style="37"/>
    <col min="2520" max="2520" width="3.42578125" style="37" customWidth="1"/>
    <col min="2521" max="2521" width="16.5703125" style="37" customWidth="1"/>
    <col min="2522" max="2522" width="4.7109375" style="37" customWidth="1"/>
    <col min="2523" max="2523" width="4.5703125" style="37" customWidth="1"/>
    <col min="2524" max="2524" width="16.85546875" style="37" customWidth="1"/>
    <col min="2525" max="2525" width="4.7109375" style="37" customWidth="1"/>
    <col min="2526" max="2526" width="5.28515625" style="37" customWidth="1"/>
    <col min="2527" max="2527" width="16.7109375" style="37" customWidth="1"/>
    <col min="2528" max="2528" width="4.7109375" style="37" customWidth="1"/>
    <col min="2529" max="2529" width="5.42578125" style="37" customWidth="1"/>
    <col min="2530" max="2530" width="16.7109375" style="37" customWidth="1"/>
    <col min="2531" max="2532" width="4.7109375" style="37" customWidth="1"/>
    <col min="2533" max="2533" width="16.7109375" style="37" customWidth="1"/>
    <col min="2534" max="2534" width="4.7109375" style="37" customWidth="1"/>
    <col min="2535" max="2535" width="2.85546875" style="37" customWidth="1"/>
    <col min="2536" max="2536" width="4.28515625" style="37" customWidth="1"/>
    <col min="2537" max="2537" width="17.140625" style="37" customWidth="1"/>
    <col min="2538" max="2538" width="4.7109375" style="37" customWidth="1"/>
    <col min="2539" max="2539" width="3" style="37" customWidth="1"/>
    <col min="2540" max="2540" width="2.42578125" style="37" customWidth="1"/>
    <col min="2541" max="2541" width="2.28515625" style="37" customWidth="1"/>
    <col min="2542" max="2542" width="20.7109375" style="37" customWidth="1"/>
    <col min="2543" max="2543" width="4.7109375" style="37" customWidth="1"/>
    <col min="2544" max="2544" width="2.85546875" style="37" customWidth="1"/>
    <col min="2545" max="2545" width="33.28515625" style="37" customWidth="1"/>
    <col min="2546" max="2546" width="4.7109375" style="37" customWidth="1"/>
    <col min="2547" max="2775" width="9.140625" style="37"/>
    <col min="2776" max="2776" width="3.42578125" style="37" customWidth="1"/>
    <col min="2777" max="2777" width="16.5703125" style="37" customWidth="1"/>
    <col min="2778" max="2778" width="4.7109375" style="37" customWidth="1"/>
    <col min="2779" max="2779" width="4.5703125" style="37" customWidth="1"/>
    <col min="2780" max="2780" width="16.85546875" style="37" customWidth="1"/>
    <col min="2781" max="2781" width="4.7109375" style="37" customWidth="1"/>
    <col min="2782" max="2782" width="5.28515625" style="37" customWidth="1"/>
    <col min="2783" max="2783" width="16.7109375" style="37" customWidth="1"/>
    <col min="2784" max="2784" width="4.7109375" style="37" customWidth="1"/>
    <col min="2785" max="2785" width="5.42578125" style="37" customWidth="1"/>
    <col min="2786" max="2786" width="16.7109375" style="37" customWidth="1"/>
    <col min="2787" max="2788" width="4.7109375" style="37" customWidth="1"/>
    <col min="2789" max="2789" width="16.7109375" style="37" customWidth="1"/>
    <col min="2790" max="2790" width="4.7109375" style="37" customWidth="1"/>
    <col min="2791" max="2791" width="2.85546875" style="37" customWidth="1"/>
    <col min="2792" max="2792" width="4.28515625" style="37" customWidth="1"/>
    <col min="2793" max="2793" width="17.140625" style="37" customWidth="1"/>
    <col min="2794" max="2794" width="4.7109375" style="37" customWidth="1"/>
    <col min="2795" max="2795" width="3" style="37" customWidth="1"/>
    <col min="2796" max="2796" width="2.42578125" style="37" customWidth="1"/>
    <col min="2797" max="2797" width="2.28515625" style="37" customWidth="1"/>
    <col min="2798" max="2798" width="20.7109375" style="37" customWidth="1"/>
    <col min="2799" max="2799" width="4.7109375" style="37" customWidth="1"/>
    <col min="2800" max="2800" width="2.85546875" style="37" customWidth="1"/>
    <col min="2801" max="2801" width="33.28515625" style="37" customWidth="1"/>
    <col min="2802" max="2802" width="4.7109375" style="37" customWidth="1"/>
    <col min="2803" max="3031" width="9.140625" style="37"/>
    <col min="3032" max="3032" width="3.42578125" style="37" customWidth="1"/>
    <col min="3033" max="3033" width="16.5703125" style="37" customWidth="1"/>
    <col min="3034" max="3034" width="4.7109375" style="37" customWidth="1"/>
    <col min="3035" max="3035" width="4.5703125" style="37" customWidth="1"/>
    <col min="3036" max="3036" width="16.85546875" style="37" customWidth="1"/>
    <col min="3037" max="3037" width="4.7109375" style="37" customWidth="1"/>
    <col min="3038" max="3038" width="5.28515625" style="37" customWidth="1"/>
    <col min="3039" max="3039" width="16.7109375" style="37" customWidth="1"/>
    <col min="3040" max="3040" width="4.7109375" style="37" customWidth="1"/>
    <col min="3041" max="3041" width="5.42578125" style="37" customWidth="1"/>
    <col min="3042" max="3042" width="16.7109375" style="37" customWidth="1"/>
    <col min="3043" max="3044" width="4.7109375" style="37" customWidth="1"/>
    <col min="3045" max="3045" width="16.7109375" style="37" customWidth="1"/>
    <col min="3046" max="3046" width="4.7109375" style="37" customWidth="1"/>
    <col min="3047" max="3047" width="2.85546875" style="37" customWidth="1"/>
    <col min="3048" max="3048" width="4.28515625" style="37" customWidth="1"/>
    <col min="3049" max="3049" width="17.140625" style="37" customWidth="1"/>
    <col min="3050" max="3050" width="4.7109375" style="37" customWidth="1"/>
    <col min="3051" max="3051" width="3" style="37" customWidth="1"/>
    <col min="3052" max="3052" width="2.42578125" style="37" customWidth="1"/>
    <col min="3053" max="3053" width="2.28515625" style="37" customWidth="1"/>
    <col min="3054" max="3054" width="20.7109375" style="37" customWidth="1"/>
    <col min="3055" max="3055" width="4.7109375" style="37" customWidth="1"/>
    <col min="3056" max="3056" width="2.85546875" style="37" customWidth="1"/>
    <col min="3057" max="3057" width="33.28515625" style="37" customWidth="1"/>
    <col min="3058" max="3058" width="4.7109375" style="37" customWidth="1"/>
    <col min="3059" max="3287" width="9.140625" style="37"/>
    <col min="3288" max="3288" width="3.42578125" style="37" customWidth="1"/>
    <col min="3289" max="3289" width="16.5703125" style="37" customWidth="1"/>
    <col min="3290" max="3290" width="4.7109375" style="37" customWidth="1"/>
    <col min="3291" max="3291" width="4.5703125" style="37" customWidth="1"/>
    <col min="3292" max="3292" width="16.85546875" style="37" customWidth="1"/>
    <col min="3293" max="3293" width="4.7109375" style="37" customWidth="1"/>
    <col min="3294" max="3294" width="5.28515625" style="37" customWidth="1"/>
    <col min="3295" max="3295" width="16.7109375" style="37" customWidth="1"/>
    <col min="3296" max="3296" width="4.7109375" style="37" customWidth="1"/>
    <col min="3297" max="3297" width="5.42578125" style="37" customWidth="1"/>
    <col min="3298" max="3298" width="16.7109375" style="37" customWidth="1"/>
    <col min="3299" max="3300" width="4.7109375" style="37" customWidth="1"/>
    <col min="3301" max="3301" width="16.7109375" style="37" customWidth="1"/>
    <col min="3302" max="3302" width="4.7109375" style="37" customWidth="1"/>
    <col min="3303" max="3303" width="2.85546875" style="37" customWidth="1"/>
    <col min="3304" max="3304" width="4.28515625" style="37" customWidth="1"/>
    <col min="3305" max="3305" width="17.140625" style="37" customWidth="1"/>
    <col min="3306" max="3306" width="4.7109375" style="37" customWidth="1"/>
    <col min="3307" max="3307" width="3" style="37" customWidth="1"/>
    <col min="3308" max="3308" width="2.42578125" style="37" customWidth="1"/>
    <col min="3309" max="3309" width="2.28515625" style="37" customWidth="1"/>
    <col min="3310" max="3310" width="20.7109375" style="37" customWidth="1"/>
    <col min="3311" max="3311" width="4.7109375" style="37" customWidth="1"/>
    <col min="3312" max="3312" width="2.85546875" style="37" customWidth="1"/>
    <col min="3313" max="3313" width="33.28515625" style="37" customWidth="1"/>
    <col min="3314" max="3314" width="4.7109375" style="37" customWidth="1"/>
    <col min="3315" max="3543" width="9.140625" style="37"/>
    <col min="3544" max="3544" width="3.42578125" style="37" customWidth="1"/>
    <col min="3545" max="3545" width="16.5703125" style="37" customWidth="1"/>
    <col min="3546" max="3546" width="4.7109375" style="37" customWidth="1"/>
    <col min="3547" max="3547" width="4.5703125" style="37" customWidth="1"/>
    <col min="3548" max="3548" width="16.85546875" style="37" customWidth="1"/>
    <col min="3549" max="3549" width="4.7109375" style="37" customWidth="1"/>
    <col min="3550" max="3550" width="5.28515625" style="37" customWidth="1"/>
    <col min="3551" max="3551" width="16.7109375" style="37" customWidth="1"/>
    <col min="3552" max="3552" width="4.7109375" style="37" customWidth="1"/>
    <col min="3553" max="3553" width="5.42578125" style="37" customWidth="1"/>
    <col min="3554" max="3554" width="16.7109375" style="37" customWidth="1"/>
    <col min="3555" max="3556" width="4.7109375" style="37" customWidth="1"/>
    <col min="3557" max="3557" width="16.7109375" style="37" customWidth="1"/>
    <col min="3558" max="3558" width="4.7109375" style="37" customWidth="1"/>
    <col min="3559" max="3559" width="2.85546875" style="37" customWidth="1"/>
    <col min="3560" max="3560" width="4.28515625" style="37" customWidth="1"/>
    <col min="3561" max="3561" width="17.140625" style="37" customWidth="1"/>
    <col min="3562" max="3562" width="4.7109375" style="37" customWidth="1"/>
    <col min="3563" max="3563" width="3" style="37" customWidth="1"/>
    <col min="3564" max="3564" width="2.42578125" style="37" customWidth="1"/>
    <col min="3565" max="3565" width="2.28515625" style="37" customWidth="1"/>
    <col min="3566" max="3566" width="20.7109375" style="37" customWidth="1"/>
    <col min="3567" max="3567" width="4.7109375" style="37" customWidth="1"/>
    <col min="3568" max="3568" width="2.85546875" style="37" customWidth="1"/>
    <col min="3569" max="3569" width="33.28515625" style="37" customWidth="1"/>
    <col min="3570" max="3570" width="4.7109375" style="37" customWidth="1"/>
    <col min="3571" max="3799" width="9.140625" style="37"/>
    <col min="3800" max="3800" width="3.42578125" style="37" customWidth="1"/>
    <col min="3801" max="3801" width="16.5703125" style="37" customWidth="1"/>
    <col min="3802" max="3802" width="4.7109375" style="37" customWidth="1"/>
    <col min="3803" max="3803" width="4.5703125" style="37" customWidth="1"/>
    <col min="3804" max="3804" width="16.85546875" style="37" customWidth="1"/>
    <col min="3805" max="3805" width="4.7109375" style="37" customWidth="1"/>
    <col min="3806" max="3806" width="5.28515625" style="37" customWidth="1"/>
    <col min="3807" max="3807" width="16.7109375" style="37" customWidth="1"/>
    <col min="3808" max="3808" width="4.7109375" style="37" customWidth="1"/>
    <col min="3809" max="3809" width="5.42578125" style="37" customWidth="1"/>
    <col min="3810" max="3810" width="16.7109375" style="37" customWidth="1"/>
    <col min="3811" max="3812" width="4.7109375" style="37" customWidth="1"/>
    <col min="3813" max="3813" width="16.7109375" style="37" customWidth="1"/>
    <col min="3814" max="3814" width="4.7109375" style="37" customWidth="1"/>
    <col min="3815" max="3815" width="2.85546875" style="37" customWidth="1"/>
    <col min="3816" max="3816" width="4.28515625" style="37" customWidth="1"/>
    <col min="3817" max="3817" width="17.140625" style="37" customWidth="1"/>
    <col min="3818" max="3818" width="4.7109375" style="37" customWidth="1"/>
    <col min="3819" max="3819" width="3" style="37" customWidth="1"/>
    <col min="3820" max="3820" width="2.42578125" style="37" customWidth="1"/>
    <col min="3821" max="3821" width="2.28515625" style="37" customWidth="1"/>
    <col min="3822" max="3822" width="20.7109375" style="37" customWidth="1"/>
    <col min="3823" max="3823" width="4.7109375" style="37" customWidth="1"/>
    <col min="3824" max="3824" width="2.85546875" style="37" customWidth="1"/>
    <col min="3825" max="3825" width="33.28515625" style="37" customWidth="1"/>
    <col min="3826" max="3826" width="4.7109375" style="37" customWidth="1"/>
    <col min="3827" max="4055" width="9.140625" style="37"/>
    <col min="4056" max="4056" width="3.42578125" style="37" customWidth="1"/>
    <col min="4057" max="4057" width="16.5703125" style="37" customWidth="1"/>
    <col min="4058" max="4058" width="4.7109375" style="37" customWidth="1"/>
    <col min="4059" max="4059" width="4.5703125" style="37" customWidth="1"/>
    <col min="4060" max="4060" width="16.85546875" style="37" customWidth="1"/>
    <col min="4061" max="4061" width="4.7109375" style="37" customWidth="1"/>
    <col min="4062" max="4062" width="5.28515625" style="37" customWidth="1"/>
    <col min="4063" max="4063" width="16.7109375" style="37" customWidth="1"/>
    <col min="4064" max="4064" width="4.7109375" style="37" customWidth="1"/>
    <col min="4065" max="4065" width="5.42578125" style="37" customWidth="1"/>
    <col min="4066" max="4066" width="16.7109375" style="37" customWidth="1"/>
    <col min="4067" max="4068" width="4.7109375" style="37" customWidth="1"/>
    <col min="4069" max="4069" width="16.7109375" style="37" customWidth="1"/>
    <col min="4070" max="4070" width="4.7109375" style="37" customWidth="1"/>
    <col min="4071" max="4071" width="2.85546875" style="37" customWidth="1"/>
    <col min="4072" max="4072" width="4.28515625" style="37" customWidth="1"/>
    <col min="4073" max="4073" width="17.140625" style="37" customWidth="1"/>
    <col min="4074" max="4074" width="4.7109375" style="37" customWidth="1"/>
    <col min="4075" max="4075" width="3" style="37" customWidth="1"/>
    <col min="4076" max="4076" width="2.42578125" style="37" customWidth="1"/>
    <col min="4077" max="4077" width="2.28515625" style="37" customWidth="1"/>
    <col min="4078" max="4078" width="20.7109375" style="37" customWidth="1"/>
    <col min="4079" max="4079" width="4.7109375" style="37" customWidth="1"/>
    <col min="4080" max="4080" width="2.85546875" style="37" customWidth="1"/>
    <col min="4081" max="4081" width="33.28515625" style="37" customWidth="1"/>
    <col min="4082" max="4082" width="4.7109375" style="37" customWidth="1"/>
    <col min="4083" max="4311" width="9.140625" style="37"/>
    <col min="4312" max="4312" width="3.42578125" style="37" customWidth="1"/>
    <col min="4313" max="4313" width="16.5703125" style="37" customWidth="1"/>
    <col min="4314" max="4314" width="4.7109375" style="37" customWidth="1"/>
    <col min="4315" max="4315" width="4.5703125" style="37" customWidth="1"/>
    <col min="4316" max="4316" width="16.85546875" style="37" customWidth="1"/>
    <col min="4317" max="4317" width="4.7109375" style="37" customWidth="1"/>
    <col min="4318" max="4318" width="5.28515625" style="37" customWidth="1"/>
    <col min="4319" max="4319" width="16.7109375" style="37" customWidth="1"/>
    <col min="4320" max="4320" width="4.7109375" style="37" customWidth="1"/>
    <col min="4321" max="4321" width="5.42578125" style="37" customWidth="1"/>
    <col min="4322" max="4322" width="16.7109375" style="37" customWidth="1"/>
    <col min="4323" max="4324" width="4.7109375" style="37" customWidth="1"/>
    <col min="4325" max="4325" width="16.7109375" style="37" customWidth="1"/>
    <col min="4326" max="4326" width="4.7109375" style="37" customWidth="1"/>
    <col min="4327" max="4327" width="2.85546875" style="37" customWidth="1"/>
    <col min="4328" max="4328" width="4.28515625" style="37" customWidth="1"/>
    <col min="4329" max="4329" width="17.140625" style="37" customWidth="1"/>
    <col min="4330" max="4330" width="4.7109375" style="37" customWidth="1"/>
    <col min="4331" max="4331" width="3" style="37" customWidth="1"/>
    <col min="4332" max="4332" width="2.42578125" style="37" customWidth="1"/>
    <col min="4333" max="4333" width="2.28515625" style="37" customWidth="1"/>
    <col min="4334" max="4334" width="20.7109375" style="37" customWidth="1"/>
    <col min="4335" max="4335" width="4.7109375" style="37" customWidth="1"/>
    <col min="4336" max="4336" width="2.85546875" style="37" customWidth="1"/>
    <col min="4337" max="4337" width="33.28515625" style="37" customWidth="1"/>
    <col min="4338" max="4338" width="4.7109375" style="37" customWidth="1"/>
    <col min="4339" max="4567" width="9.140625" style="37"/>
    <col min="4568" max="4568" width="3.42578125" style="37" customWidth="1"/>
    <col min="4569" max="4569" width="16.5703125" style="37" customWidth="1"/>
    <col min="4570" max="4570" width="4.7109375" style="37" customWidth="1"/>
    <col min="4571" max="4571" width="4.5703125" style="37" customWidth="1"/>
    <col min="4572" max="4572" width="16.85546875" style="37" customWidth="1"/>
    <col min="4573" max="4573" width="4.7109375" style="37" customWidth="1"/>
    <col min="4574" max="4574" width="5.28515625" style="37" customWidth="1"/>
    <col min="4575" max="4575" width="16.7109375" style="37" customWidth="1"/>
    <col min="4576" max="4576" width="4.7109375" style="37" customWidth="1"/>
    <col min="4577" max="4577" width="5.42578125" style="37" customWidth="1"/>
    <col min="4578" max="4578" width="16.7109375" style="37" customWidth="1"/>
    <col min="4579" max="4580" width="4.7109375" style="37" customWidth="1"/>
    <col min="4581" max="4581" width="16.7109375" style="37" customWidth="1"/>
    <col min="4582" max="4582" width="4.7109375" style="37" customWidth="1"/>
    <col min="4583" max="4583" width="2.85546875" style="37" customWidth="1"/>
    <col min="4584" max="4584" width="4.28515625" style="37" customWidth="1"/>
    <col min="4585" max="4585" width="17.140625" style="37" customWidth="1"/>
    <col min="4586" max="4586" width="4.7109375" style="37" customWidth="1"/>
    <col min="4587" max="4587" width="3" style="37" customWidth="1"/>
    <col min="4588" max="4588" width="2.42578125" style="37" customWidth="1"/>
    <col min="4589" max="4589" width="2.28515625" style="37" customWidth="1"/>
    <col min="4590" max="4590" width="20.7109375" style="37" customWidth="1"/>
    <col min="4591" max="4591" width="4.7109375" style="37" customWidth="1"/>
    <col min="4592" max="4592" width="2.85546875" style="37" customWidth="1"/>
    <col min="4593" max="4593" width="33.28515625" style="37" customWidth="1"/>
    <col min="4594" max="4594" width="4.7109375" style="37" customWidth="1"/>
    <col min="4595" max="4823" width="9.140625" style="37"/>
    <col min="4824" max="4824" width="3.42578125" style="37" customWidth="1"/>
    <col min="4825" max="4825" width="16.5703125" style="37" customWidth="1"/>
    <col min="4826" max="4826" width="4.7109375" style="37" customWidth="1"/>
    <col min="4827" max="4827" width="4.5703125" style="37" customWidth="1"/>
    <col min="4828" max="4828" width="16.85546875" style="37" customWidth="1"/>
    <col min="4829" max="4829" width="4.7109375" style="37" customWidth="1"/>
    <col min="4830" max="4830" width="5.28515625" style="37" customWidth="1"/>
    <col min="4831" max="4831" width="16.7109375" style="37" customWidth="1"/>
    <col min="4832" max="4832" width="4.7109375" style="37" customWidth="1"/>
    <col min="4833" max="4833" width="5.42578125" style="37" customWidth="1"/>
    <col min="4834" max="4834" width="16.7109375" style="37" customWidth="1"/>
    <col min="4835" max="4836" width="4.7109375" style="37" customWidth="1"/>
    <col min="4837" max="4837" width="16.7109375" style="37" customWidth="1"/>
    <col min="4838" max="4838" width="4.7109375" style="37" customWidth="1"/>
    <col min="4839" max="4839" width="2.85546875" style="37" customWidth="1"/>
    <col min="4840" max="4840" width="4.28515625" style="37" customWidth="1"/>
    <col min="4841" max="4841" width="17.140625" style="37" customWidth="1"/>
    <col min="4842" max="4842" width="4.7109375" style="37" customWidth="1"/>
    <col min="4843" max="4843" width="3" style="37" customWidth="1"/>
    <col min="4844" max="4844" width="2.42578125" style="37" customWidth="1"/>
    <col min="4845" max="4845" width="2.28515625" style="37" customWidth="1"/>
    <col min="4846" max="4846" width="20.7109375" style="37" customWidth="1"/>
    <col min="4847" max="4847" width="4.7109375" style="37" customWidth="1"/>
    <col min="4848" max="4848" width="2.85546875" style="37" customWidth="1"/>
    <col min="4849" max="4849" width="33.28515625" style="37" customWidth="1"/>
    <col min="4850" max="4850" width="4.7109375" style="37" customWidth="1"/>
    <col min="4851" max="5079" width="9.140625" style="37"/>
    <col min="5080" max="5080" width="3.42578125" style="37" customWidth="1"/>
    <col min="5081" max="5081" width="16.5703125" style="37" customWidth="1"/>
    <col min="5082" max="5082" width="4.7109375" style="37" customWidth="1"/>
    <col min="5083" max="5083" width="4.5703125" style="37" customWidth="1"/>
    <col min="5084" max="5084" width="16.85546875" style="37" customWidth="1"/>
    <col min="5085" max="5085" width="4.7109375" style="37" customWidth="1"/>
    <col min="5086" max="5086" width="5.28515625" style="37" customWidth="1"/>
    <col min="5087" max="5087" width="16.7109375" style="37" customWidth="1"/>
    <col min="5088" max="5088" width="4.7109375" style="37" customWidth="1"/>
    <col min="5089" max="5089" width="5.42578125" style="37" customWidth="1"/>
    <col min="5090" max="5090" width="16.7109375" style="37" customWidth="1"/>
    <col min="5091" max="5092" width="4.7109375" style="37" customWidth="1"/>
    <col min="5093" max="5093" width="16.7109375" style="37" customWidth="1"/>
    <col min="5094" max="5094" width="4.7109375" style="37" customWidth="1"/>
    <col min="5095" max="5095" width="2.85546875" style="37" customWidth="1"/>
    <col min="5096" max="5096" width="4.28515625" style="37" customWidth="1"/>
    <col min="5097" max="5097" width="17.140625" style="37" customWidth="1"/>
    <col min="5098" max="5098" width="4.7109375" style="37" customWidth="1"/>
    <col min="5099" max="5099" width="3" style="37" customWidth="1"/>
    <col min="5100" max="5100" width="2.42578125" style="37" customWidth="1"/>
    <col min="5101" max="5101" width="2.28515625" style="37" customWidth="1"/>
    <col min="5102" max="5102" width="20.7109375" style="37" customWidth="1"/>
    <col min="5103" max="5103" width="4.7109375" style="37" customWidth="1"/>
    <col min="5104" max="5104" width="2.85546875" style="37" customWidth="1"/>
    <col min="5105" max="5105" width="33.28515625" style="37" customWidth="1"/>
    <col min="5106" max="5106" width="4.7109375" style="37" customWidth="1"/>
    <col min="5107" max="5335" width="9.140625" style="37"/>
    <col min="5336" max="5336" width="3.42578125" style="37" customWidth="1"/>
    <col min="5337" max="5337" width="16.5703125" style="37" customWidth="1"/>
    <col min="5338" max="5338" width="4.7109375" style="37" customWidth="1"/>
    <col min="5339" max="5339" width="4.5703125" style="37" customWidth="1"/>
    <col min="5340" max="5340" width="16.85546875" style="37" customWidth="1"/>
    <col min="5341" max="5341" width="4.7109375" style="37" customWidth="1"/>
    <col min="5342" max="5342" width="5.28515625" style="37" customWidth="1"/>
    <col min="5343" max="5343" width="16.7109375" style="37" customWidth="1"/>
    <col min="5344" max="5344" width="4.7109375" style="37" customWidth="1"/>
    <col min="5345" max="5345" width="5.42578125" style="37" customWidth="1"/>
    <col min="5346" max="5346" width="16.7109375" style="37" customWidth="1"/>
    <col min="5347" max="5348" width="4.7109375" style="37" customWidth="1"/>
    <col min="5349" max="5349" width="16.7109375" style="37" customWidth="1"/>
    <col min="5350" max="5350" width="4.7109375" style="37" customWidth="1"/>
    <col min="5351" max="5351" width="2.85546875" style="37" customWidth="1"/>
    <col min="5352" max="5352" width="4.28515625" style="37" customWidth="1"/>
    <col min="5353" max="5353" width="17.140625" style="37" customWidth="1"/>
    <col min="5354" max="5354" width="4.7109375" style="37" customWidth="1"/>
    <col min="5355" max="5355" width="3" style="37" customWidth="1"/>
    <col min="5356" max="5356" width="2.42578125" style="37" customWidth="1"/>
    <col min="5357" max="5357" width="2.28515625" style="37" customWidth="1"/>
    <col min="5358" max="5358" width="20.7109375" style="37" customWidth="1"/>
    <col min="5359" max="5359" width="4.7109375" style="37" customWidth="1"/>
    <col min="5360" max="5360" width="2.85546875" style="37" customWidth="1"/>
    <col min="5361" max="5361" width="33.28515625" style="37" customWidth="1"/>
    <col min="5362" max="5362" width="4.7109375" style="37" customWidth="1"/>
    <col min="5363" max="5591" width="9.140625" style="37"/>
    <col min="5592" max="5592" width="3.42578125" style="37" customWidth="1"/>
    <col min="5593" max="5593" width="16.5703125" style="37" customWidth="1"/>
    <col min="5594" max="5594" width="4.7109375" style="37" customWidth="1"/>
    <col min="5595" max="5595" width="4.5703125" style="37" customWidth="1"/>
    <col min="5596" max="5596" width="16.85546875" style="37" customWidth="1"/>
    <col min="5597" max="5597" width="4.7109375" style="37" customWidth="1"/>
    <col min="5598" max="5598" width="5.28515625" style="37" customWidth="1"/>
    <col min="5599" max="5599" width="16.7109375" style="37" customWidth="1"/>
    <col min="5600" max="5600" width="4.7109375" style="37" customWidth="1"/>
    <col min="5601" max="5601" width="5.42578125" style="37" customWidth="1"/>
    <col min="5602" max="5602" width="16.7109375" style="37" customWidth="1"/>
    <col min="5603" max="5604" width="4.7109375" style="37" customWidth="1"/>
    <col min="5605" max="5605" width="16.7109375" style="37" customWidth="1"/>
    <col min="5606" max="5606" width="4.7109375" style="37" customWidth="1"/>
    <col min="5607" max="5607" width="2.85546875" style="37" customWidth="1"/>
    <col min="5608" max="5608" width="4.28515625" style="37" customWidth="1"/>
    <col min="5609" max="5609" width="17.140625" style="37" customWidth="1"/>
    <col min="5610" max="5610" width="4.7109375" style="37" customWidth="1"/>
    <col min="5611" max="5611" width="3" style="37" customWidth="1"/>
    <col min="5612" max="5612" width="2.42578125" style="37" customWidth="1"/>
    <col min="5613" max="5613" width="2.28515625" style="37" customWidth="1"/>
    <col min="5614" max="5614" width="20.7109375" style="37" customWidth="1"/>
    <col min="5615" max="5615" width="4.7109375" style="37" customWidth="1"/>
    <col min="5616" max="5616" width="2.85546875" style="37" customWidth="1"/>
    <col min="5617" max="5617" width="33.28515625" style="37" customWidth="1"/>
    <col min="5618" max="5618" width="4.7109375" style="37" customWidth="1"/>
    <col min="5619" max="5847" width="9.140625" style="37"/>
    <col min="5848" max="5848" width="3.42578125" style="37" customWidth="1"/>
    <col min="5849" max="5849" width="16.5703125" style="37" customWidth="1"/>
    <col min="5850" max="5850" width="4.7109375" style="37" customWidth="1"/>
    <col min="5851" max="5851" width="4.5703125" style="37" customWidth="1"/>
    <col min="5852" max="5852" width="16.85546875" style="37" customWidth="1"/>
    <col min="5853" max="5853" width="4.7109375" style="37" customWidth="1"/>
    <col min="5854" max="5854" width="5.28515625" style="37" customWidth="1"/>
    <col min="5855" max="5855" width="16.7109375" style="37" customWidth="1"/>
    <col min="5856" max="5856" width="4.7109375" style="37" customWidth="1"/>
    <col min="5857" max="5857" width="5.42578125" style="37" customWidth="1"/>
    <col min="5858" max="5858" width="16.7109375" style="37" customWidth="1"/>
    <col min="5859" max="5860" width="4.7109375" style="37" customWidth="1"/>
    <col min="5861" max="5861" width="16.7109375" style="37" customWidth="1"/>
    <col min="5862" max="5862" width="4.7109375" style="37" customWidth="1"/>
    <col min="5863" max="5863" width="2.85546875" style="37" customWidth="1"/>
    <col min="5864" max="5864" width="4.28515625" style="37" customWidth="1"/>
    <col min="5865" max="5865" width="17.140625" style="37" customWidth="1"/>
    <col min="5866" max="5866" width="4.7109375" style="37" customWidth="1"/>
    <col min="5867" max="5867" width="3" style="37" customWidth="1"/>
    <col min="5868" max="5868" width="2.42578125" style="37" customWidth="1"/>
    <col min="5869" max="5869" width="2.28515625" style="37" customWidth="1"/>
    <col min="5870" max="5870" width="20.7109375" style="37" customWidth="1"/>
    <col min="5871" max="5871" width="4.7109375" style="37" customWidth="1"/>
    <col min="5872" max="5872" width="2.85546875" style="37" customWidth="1"/>
    <col min="5873" max="5873" width="33.28515625" style="37" customWidth="1"/>
    <col min="5874" max="5874" width="4.7109375" style="37" customWidth="1"/>
    <col min="5875" max="6103" width="9.140625" style="37"/>
    <col min="6104" max="6104" width="3.42578125" style="37" customWidth="1"/>
    <col min="6105" max="6105" width="16.5703125" style="37" customWidth="1"/>
    <col min="6106" max="6106" width="4.7109375" style="37" customWidth="1"/>
    <col min="6107" max="6107" width="4.5703125" style="37" customWidth="1"/>
    <col min="6108" max="6108" width="16.85546875" style="37" customWidth="1"/>
    <col min="6109" max="6109" width="4.7109375" style="37" customWidth="1"/>
    <col min="6110" max="6110" width="5.28515625" style="37" customWidth="1"/>
    <col min="6111" max="6111" width="16.7109375" style="37" customWidth="1"/>
    <col min="6112" max="6112" width="4.7109375" style="37" customWidth="1"/>
    <col min="6113" max="6113" width="5.42578125" style="37" customWidth="1"/>
    <col min="6114" max="6114" width="16.7109375" style="37" customWidth="1"/>
    <col min="6115" max="6116" width="4.7109375" style="37" customWidth="1"/>
    <col min="6117" max="6117" width="16.7109375" style="37" customWidth="1"/>
    <col min="6118" max="6118" width="4.7109375" style="37" customWidth="1"/>
    <col min="6119" max="6119" width="2.85546875" style="37" customWidth="1"/>
    <col min="6120" max="6120" width="4.28515625" style="37" customWidth="1"/>
    <col min="6121" max="6121" width="17.140625" style="37" customWidth="1"/>
    <col min="6122" max="6122" width="4.7109375" style="37" customWidth="1"/>
    <col min="6123" max="6123" width="3" style="37" customWidth="1"/>
    <col min="6124" max="6124" width="2.42578125" style="37" customWidth="1"/>
    <col min="6125" max="6125" width="2.28515625" style="37" customWidth="1"/>
    <col min="6126" max="6126" width="20.7109375" style="37" customWidth="1"/>
    <col min="6127" max="6127" width="4.7109375" style="37" customWidth="1"/>
    <col min="6128" max="6128" width="2.85546875" style="37" customWidth="1"/>
    <col min="6129" max="6129" width="33.28515625" style="37" customWidth="1"/>
    <col min="6130" max="6130" width="4.7109375" style="37" customWidth="1"/>
    <col min="6131" max="6359" width="9.140625" style="37"/>
    <col min="6360" max="6360" width="3.42578125" style="37" customWidth="1"/>
    <col min="6361" max="6361" width="16.5703125" style="37" customWidth="1"/>
    <col min="6362" max="6362" width="4.7109375" style="37" customWidth="1"/>
    <col min="6363" max="6363" width="4.5703125" style="37" customWidth="1"/>
    <col min="6364" max="6364" width="16.85546875" style="37" customWidth="1"/>
    <col min="6365" max="6365" width="4.7109375" style="37" customWidth="1"/>
    <col min="6366" max="6366" width="5.28515625" style="37" customWidth="1"/>
    <col min="6367" max="6367" width="16.7109375" style="37" customWidth="1"/>
    <col min="6368" max="6368" width="4.7109375" style="37" customWidth="1"/>
    <col min="6369" max="6369" width="5.42578125" style="37" customWidth="1"/>
    <col min="6370" max="6370" width="16.7109375" style="37" customWidth="1"/>
    <col min="6371" max="6372" width="4.7109375" style="37" customWidth="1"/>
    <col min="6373" max="6373" width="16.7109375" style="37" customWidth="1"/>
    <col min="6374" max="6374" width="4.7109375" style="37" customWidth="1"/>
    <col min="6375" max="6375" width="2.85546875" style="37" customWidth="1"/>
    <col min="6376" max="6376" width="4.28515625" style="37" customWidth="1"/>
    <col min="6377" max="6377" width="17.140625" style="37" customWidth="1"/>
    <col min="6378" max="6378" width="4.7109375" style="37" customWidth="1"/>
    <col min="6379" max="6379" width="3" style="37" customWidth="1"/>
    <col min="6380" max="6380" width="2.42578125" style="37" customWidth="1"/>
    <col min="6381" max="6381" width="2.28515625" style="37" customWidth="1"/>
    <col min="6382" max="6382" width="20.7109375" style="37" customWidth="1"/>
    <col min="6383" max="6383" width="4.7109375" style="37" customWidth="1"/>
    <col min="6384" max="6384" width="2.85546875" style="37" customWidth="1"/>
    <col min="6385" max="6385" width="33.28515625" style="37" customWidth="1"/>
    <col min="6386" max="6386" width="4.7109375" style="37" customWidth="1"/>
    <col min="6387" max="6615" width="9.140625" style="37"/>
    <col min="6616" max="6616" width="3.42578125" style="37" customWidth="1"/>
    <col min="6617" max="6617" width="16.5703125" style="37" customWidth="1"/>
    <col min="6618" max="6618" width="4.7109375" style="37" customWidth="1"/>
    <col min="6619" max="6619" width="4.5703125" style="37" customWidth="1"/>
    <col min="6620" max="6620" width="16.85546875" style="37" customWidth="1"/>
    <col min="6621" max="6621" width="4.7109375" style="37" customWidth="1"/>
    <col min="6622" max="6622" width="5.28515625" style="37" customWidth="1"/>
    <col min="6623" max="6623" width="16.7109375" style="37" customWidth="1"/>
    <col min="6624" max="6624" width="4.7109375" style="37" customWidth="1"/>
    <col min="6625" max="6625" width="5.42578125" style="37" customWidth="1"/>
    <col min="6626" max="6626" width="16.7109375" style="37" customWidth="1"/>
    <col min="6627" max="6628" width="4.7109375" style="37" customWidth="1"/>
    <col min="6629" max="6629" width="16.7109375" style="37" customWidth="1"/>
    <col min="6630" max="6630" width="4.7109375" style="37" customWidth="1"/>
    <col min="6631" max="6631" width="2.85546875" style="37" customWidth="1"/>
    <col min="6632" max="6632" width="4.28515625" style="37" customWidth="1"/>
    <col min="6633" max="6633" width="17.140625" style="37" customWidth="1"/>
    <col min="6634" max="6634" width="4.7109375" style="37" customWidth="1"/>
    <col min="6635" max="6635" width="3" style="37" customWidth="1"/>
    <col min="6636" max="6636" width="2.42578125" style="37" customWidth="1"/>
    <col min="6637" max="6637" width="2.28515625" style="37" customWidth="1"/>
    <col min="6638" max="6638" width="20.7109375" style="37" customWidth="1"/>
    <col min="6639" max="6639" width="4.7109375" style="37" customWidth="1"/>
    <col min="6640" max="6640" width="2.85546875" style="37" customWidth="1"/>
    <col min="6641" max="6641" width="33.28515625" style="37" customWidth="1"/>
    <col min="6642" max="6642" width="4.7109375" style="37" customWidth="1"/>
    <col min="6643" max="6871" width="9.140625" style="37"/>
    <col min="6872" max="6872" width="3.42578125" style="37" customWidth="1"/>
    <col min="6873" max="6873" width="16.5703125" style="37" customWidth="1"/>
    <col min="6874" max="6874" width="4.7109375" style="37" customWidth="1"/>
    <col min="6875" max="6875" width="4.5703125" style="37" customWidth="1"/>
    <col min="6876" max="6876" width="16.85546875" style="37" customWidth="1"/>
    <col min="6877" max="6877" width="4.7109375" style="37" customWidth="1"/>
    <col min="6878" max="6878" width="5.28515625" style="37" customWidth="1"/>
    <col min="6879" max="6879" width="16.7109375" style="37" customWidth="1"/>
    <col min="6880" max="6880" width="4.7109375" style="37" customWidth="1"/>
    <col min="6881" max="6881" width="5.42578125" style="37" customWidth="1"/>
    <col min="6882" max="6882" width="16.7109375" style="37" customWidth="1"/>
    <col min="6883" max="6884" width="4.7109375" style="37" customWidth="1"/>
    <col min="6885" max="6885" width="16.7109375" style="37" customWidth="1"/>
    <col min="6886" max="6886" width="4.7109375" style="37" customWidth="1"/>
    <col min="6887" max="6887" width="2.85546875" style="37" customWidth="1"/>
    <col min="6888" max="6888" width="4.28515625" style="37" customWidth="1"/>
    <col min="6889" max="6889" width="17.140625" style="37" customWidth="1"/>
    <col min="6890" max="6890" width="4.7109375" style="37" customWidth="1"/>
    <col min="6891" max="6891" width="3" style="37" customWidth="1"/>
    <col min="6892" max="6892" width="2.42578125" style="37" customWidth="1"/>
    <col min="6893" max="6893" width="2.28515625" style="37" customWidth="1"/>
    <col min="6894" max="6894" width="20.7109375" style="37" customWidth="1"/>
    <col min="6895" max="6895" width="4.7109375" style="37" customWidth="1"/>
    <col min="6896" max="6896" width="2.85546875" style="37" customWidth="1"/>
    <col min="6897" max="6897" width="33.28515625" style="37" customWidth="1"/>
    <col min="6898" max="6898" width="4.7109375" style="37" customWidth="1"/>
    <col min="6899" max="7127" width="9.140625" style="37"/>
    <col min="7128" max="7128" width="3.42578125" style="37" customWidth="1"/>
    <col min="7129" max="7129" width="16.5703125" style="37" customWidth="1"/>
    <col min="7130" max="7130" width="4.7109375" style="37" customWidth="1"/>
    <col min="7131" max="7131" width="4.5703125" style="37" customWidth="1"/>
    <col min="7132" max="7132" width="16.85546875" style="37" customWidth="1"/>
    <col min="7133" max="7133" width="4.7109375" style="37" customWidth="1"/>
    <col min="7134" max="7134" width="5.28515625" style="37" customWidth="1"/>
    <col min="7135" max="7135" width="16.7109375" style="37" customWidth="1"/>
    <col min="7136" max="7136" width="4.7109375" style="37" customWidth="1"/>
    <col min="7137" max="7137" width="5.42578125" style="37" customWidth="1"/>
    <col min="7138" max="7138" width="16.7109375" style="37" customWidth="1"/>
    <col min="7139" max="7140" width="4.7109375" style="37" customWidth="1"/>
    <col min="7141" max="7141" width="16.7109375" style="37" customWidth="1"/>
    <col min="7142" max="7142" width="4.7109375" style="37" customWidth="1"/>
    <col min="7143" max="7143" width="2.85546875" style="37" customWidth="1"/>
    <col min="7144" max="7144" width="4.28515625" style="37" customWidth="1"/>
    <col min="7145" max="7145" width="17.140625" style="37" customWidth="1"/>
    <col min="7146" max="7146" width="4.7109375" style="37" customWidth="1"/>
    <col min="7147" max="7147" width="3" style="37" customWidth="1"/>
    <col min="7148" max="7148" width="2.42578125" style="37" customWidth="1"/>
    <col min="7149" max="7149" width="2.28515625" style="37" customWidth="1"/>
    <col min="7150" max="7150" width="20.7109375" style="37" customWidth="1"/>
    <col min="7151" max="7151" width="4.7109375" style="37" customWidth="1"/>
    <col min="7152" max="7152" width="2.85546875" style="37" customWidth="1"/>
    <col min="7153" max="7153" width="33.28515625" style="37" customWidth="1"/>
    <col min="7154" max="7154" width="4.7109375" style="37" customWidth="1"/>
    <col min="7155" max="7383" width="9.140625" style="37"/>
    <col min="7384" max="7384" width="3.42578125" style="37" customWidth="1"/>
    <col min="7385" max="7385" width="16.5703125" style="37" customWidth="1"/>
    <col min="7386" max="7386" width="4.7109375" style="37" customWidth="1"/>
    <col min="7387" max="7387" width="4.5703125" style="37" customWidth="1"/>
    <col min="7388" max="7388" width="16.85546875" style="37" customWidth="1"/>
    <col min="7389" max="7389" width="4.7109375" style="37" customWidth="1"/>
    <col min="7390" max="7390" width="5.28515625" style="37" customWidth="1"/>
    <col min="7391" max="7391" width="16.7109375" style="37" customWidth="1"/>
    <col min="7392" max="7392" width="4.7109375" style="37" customWidth="1"/>
    <col min="7393" max="7393" width="5.42578125" style="37" customWidth="1"/>
    <col min="7394" max="7394" width="16.7109375" style="37" customWidth="1"/>
    <col min="7395" max="7396" width="4.7109375" style="37" customWidth="1"/>
    <col min="7397" max="7397" width="16.7109375" style="37" customWidth="1"/>
    <col min="7398" max="7398" width="4.7109375" style="37" customWidth="1"/>
    <col min="7399" max="7399" width="2.85546875" style="37" customWidth="1"/>
    <col min="7400" max="7400" width="4.28515625" style="37" customWidth="1"/>
    <col min="7401" max="7401" width="17.140625" style="37" customWidth="1"/>
    <col min="7402" max="7402" width="4.7109375" style="37" customWidth="1"/>
    <col min="7403" max="7403" width="3" style="37" customWidth="1"/>
    <col min="7404" max="7404" width="2.42578125" style="37" customWidth="1"/>
    <col min="7405" max="7405" width="2.28515625" style="37" customWidth="1"/>
    <col min="7406" max="7406" width="20.7109375" style="37" customWidth="1"/>
    <col min="7407" max="7407" width="4.7109375" style="37" customWidth="1"/>
    <col min="7408" max="7408" width="2.85546875" style="37" customWidth="1"/>
    <col min="7409" max="7409" width="33.28515625" style="37" customWidth="1"/>
    <col min="7410" max="7410" width="4.7109375" style="37" customWidth="1"/>
    <col min="7411" max="7639" width="9.140625" style="37"/>
    <col min="7640" max="7640" width="3.42578125" style="37" customWidth="1"/>
    <col min="7641" max="7641" width="16.5703125" style="37" customWidth="1"/>
    <col min="7642" max="7642" width="4.7109375" style="37" customWidth="1"/>
    <col min="7643" max="7643" width="4.5703125" style="37" customWidth="1"/>
    <col min="7644" max="7644" width="16.85546875" style="37" customWidth="1"/>
    <col min="7645" max="7645" width="4.7109375" style="37" customWidth="1"/>
    <col min="7646" max="7646" width="5.28515625" style="37" customWidth="1"/>
    <col min="7647" max="7647" width="16.7109375" style="37" customWidth="1"/>
    <col min="7648" max="7648" width="4.7109375" style="37" customWidth="1"/>
    <col min="7649" max="7649" width="5.42578125" style="37" customWidth="1"/>
    <col min="7650" max="7650" width="16.7109375" style="37" customWidth="1"/>
    <col min="7651" max="7652" width="4.7109375" style="37" customWidth="1"/>
    <col min="7653" max="7653" width="16.7109375" style="37" customWidth="1"/>
    <col min="7654" max="7654" width="4.7109375" style="37" customWidth="1"/>
    <col min="7655" max="7655" width="2.85546875" style="37" customWidth="1"/>
    <col min="7656" max="7656" width="4.28515625" style="37" customWidth="1"/>
    <col min="7657" max="7657" width="17.140625" style="37" customWidth="1"/>
    <col min="7658" max="7658" width="4.7109375" style="37" customWidth="1"/>
    <col min="7659" max="7659" width="3" style="37" customWidth="1"/>
    <col min="7660" max="7660" width="2.42578125" style="37" customWidth="1"/>
    <col min="7661" max="7661" width="2.28515625" style="37" customWidth="1"/>
    <col min="7662" max="7662" width="20.7109375" style="37" customWidth="1"/>
    <col min="7663" max="7663" width="4.7109375" style="37" customWidth="1"/>
    <col min="7664" max="7664" width="2.85546875" style="37" customWidth="1"/>
    <col min="7665" max="7665" width="33.28515625" style="37" customWidth="1"/>
    <col min="7666" max="7666" width="4.7109375" style="37" customWidth="1"/>
    <col min="7667" max="7895" width="9.140625" style="37"/>
    <col min="7896" max="7896" width="3.42578125" style="37" customWidth="1"/>
    <col min="7897" max="7897" width="16.5703125" style="37" customWidth="1"/>
    <col min="7898" max="7898" width="4.7109375" style="37" customWidth="1"/>
    <col min="7899" max="7899" width="4.5703125" style="37" customWidth="1"/>
    <col min="7900" max="7900" width="16.85546875" style="37" customWidth="1"/>
    <col min="7901" max="7901" width="4.7109375" style="37" customWidth="1"/>
    <col min="7902" max="7902" width="5.28515625" style="37" customWidth="1"/>
    <col min="7903" max="7903" width="16.7109375" style="37" customWidth="1"/>
    <col min="7904" max="7904" width="4.7109375" style="37" customWidth="1"/>
    <col min="7905" max="7905" width="5.42578125" style="37" customWidth="1"/>
    <col min="7906" max="7906" width="16.7109375" style="37" customWidth="1"/>
    <col min="7907" max="7908" width="4.7109375" style="37" customWidth="1"/>
    <col min="7909" max="7909" width="16.7109375" style="37" customWidth="1"/>
    <col min="7910" max="7910" width="4.7109375" style="37" customWidth="1"/>
    <col min="7911" max="7911" width="2.85546875" style="37" customWidth="1"/>
    <col min="7912" max="7912" width="4.28515625" style="37" customWidth="1"/>
    <col min="7913" max="7913" width="17.140625" style="37" customWidth="1"/>
    <col min="7914" max="7914" width="4.7109375" style="37" customWidth="1"/>
    <col min="7915" max="7915" width="3" style="37" customWidth="1"/>
    <col min="7916" max="7916" width="2.42578125" style="37" customWidth="1"/>
    <col min="7917" max="7917" width="2.28515625" style="37" customWidth="1"/>
    <col min="7918" max="7918" width="20.7109375" style="37" customWidth="1"/>
    <col min="7919" max="7919" width="4.7109375" style="37" customWidth="1"/>
    <col min="7920" max="7920" width="2.85546875" style="37" customWidth="1"/>
    <col min="7921" max="7921" width="33.28515625" style="37" customWidth="1"/>
    <col min="7922" max="7922" width="4.7109375" style="37" customWidth="1"/>
    <col min="7923" max="8151" width="9.140625" style="37"/>
    <col min="8152" max="8152" width="3.42578125" style="37" customWidth="1"/>
    <col min="8153" max="8153" width="16.5703125" style="37" customWidth="1"/>
    <col min="8154" max="8154" width="4.7109375" style="37" customWidth="1"/>
    <col min="8155" max="8155" width="4.5703125" style="37" customWidth="1"/>
    <col min="8156" max="8156" width="16.85546875" style="37" customWidth="1"/>
    <col min="8157" max="8157" width="4.7109375" style="37" customWidth="1"/>
    <col min="8158" max="8158" width="5.28515625" style="37" customWidth="1"/>
    <col min="8159" max="8159" width="16.7109375" style="37" customWidth="1"/>
    <col min="8160" max="8160" width="4.7109375" style="37" customWidth="1"/>
    <col min="8161" max="8161" width="5.42578125" style="37" customWidth="1"/>
    <col min="8162" max="8162" width="16.7109375" style="37" customWidth="1"/>
    <col min="8163" max="8164" width="4.7109375" style="37" customWidth="1"/>
    <col min="8165" max="8165" width="16.7109375" style="37" customWidth="1"/>
    <col min="8166" max="8166" width="4.7109375" style="37" customWidth="1"/>
    <col min="8167" max="8167" width="2.85546875" style="37" customWidth="1"/>
    <col min="8168" max="8168" width="4.28515625" style="37" customWidth="1"/>
    <col min="8169" max="8169" width="17.140625" style="37" customWidth="1"/>
    <col min="8170" max="8170" width="4.7109375" style="37" customWidth="1"/>
    <col min="8171" max="8171" width="3" style="37" customWidth="1"/>
    <col min="8172" max="8172" width="2.42578125" style="37" customWidth="1"/>
    <col min="8173" max="8173" width="2.28515625" style="37" customWidth="1"/>
    <col min="8174" max="8174" width="20.7109375" style="37" customWidth="1"/>
    <col min="8175" max="8175" width="4.7109375" style="37" customWidth="1"/>
    <col min="8176" max="8176" width="2.85546875" style="37" customWidth="1"/>
    <col min="8177" max="8177" width="33.28515625" style="37" customWidth="1"/>
    <col min="8178" max="8178" width="4.7109375" style="37" customWidth="1"/>
    <col min="8179" max="8407" width="9.140625" style="37"/>
    <col min="8408" max="8408" width="3.42578125" style="37" customWidth="1"/>
    <col min="8409" max="8409" width="16.5703125" style="37" customWidth="1"/>
    <col min="8410" max="8410" width="4.7109375" style="37" customWidth="1"/>
    <col min="8411" max="8411" width="4.5703125" style="37" customWidth="1"/>
    <col min="8412" max="8412" width="16.85546875" style="37" customWidth="1"/>
    <col min="8413" max="8413" width="4.7109375" style="37" customWidth="1"/>
    <col min="8414" max="8414" width="5.28515625" style="37" customWidth="1"/>
    <col min="8415" max="8415" width="16.7109375" style="37" customWidth="1"/>
    <col min="8416" max="8416" width="4.7109375" style="37" customWidth="1"/>
    <col min="8417" max="8417" width="5.42578125" style="37" customWidth="1"/>
    <col min="8418" max="8418" width="16.7109375" style="37" customWidth="1"/>
    <col min="8419" max="8420" width="4.7109375" style="37" customWidth="1"/>
    <col min="8421" max="8421" width="16.7109375" style="37" customWidth="1"/>
    <col min="8422" max="8422" width="4.7109375" style="37" customWidth="1"/>
    <col min="8423" max="8423" width="2.85546875" style="37" customWidth="1"/>
    <col min="8424" max="8424" width="4.28515625" style="37" customWidth="1"/>
    <col min="8425" max="8425" width="17.140625" style="37" customWidth="1"/>
    <col min="8426" max="8426" width="4.7109375" style="37" customWidth="1"/>
    <col min="8427" max="8427" width="3" style="37" customWidth="1"/>
    <col min="8428" max="8428" width="2.42578125" style="37" customWidth="1"/>
    <col min="8429" max="8429" width="2.28515625" style="37" customWidth="1"/>
    <col min="8430" max="8430" width="20.7109375" style="37" customWidth="1"/>
    <col min="8431" max="8431" width="4.7109375" style="37" customWidth="1"/>
    <col min="8432" max="8432" width="2.85546875" style="37" customWidth="1"/>
    <col min="8433" max="8433" width="33.28515625" style="37" customWidth="1"/>
    <col min="8434" max="8434" width="4.7109375" style="37" customWidth="1"/>
    <col min="8435" max="8663" width="9.140625" style="37"/>
    <col min="8664" max="8664" width="3.42578125" style="37" customWidth="1"/>
    <col min="8665" max="8665" width="16.5703125" style="37" customWidth="1"/>
    <col min="8666" max="8666" width="4.7109375" style="37" customWidth="1"/>
    <col min="8667" max="8667" width="4.5703125" style="37" customWidth="1"/>
    <col min="8668" max="8668" width="16.85546875" style="37" customWidth="1"/>
    <col min="8669" max="8669" width="4.7109375" style="37" customWidth="1"/>
    <col min="8670" max="8670" width="5.28515625" style="37" customWidth="1"/>
    <col min="8671" max="8671" width="16.7109375" style="37" customWidth="1"/>
    <col min="8672" max="8672" width="4.7109375" style="37" customWidth="1"/>
    <col min="8673" max="8673" width="5.42578125" style="37" customWidth="1"/>
    <col min="8674" max="8674" width="16.7109375" style="37" customWidth="1"/>
    <col min="8675" max="8676" width="4.7109375" style="37" customWidth="1"/>
    <col min="8677" max="8677" width="16.7109375" style="37" customWidth="1"/>
    <col min="8678" max="8678" width="4.7109375" style="37" customWidth="1"/>
    <col min="8679" max="8679" width="2.85546875" style="37" customWidth="1"/>
    <col min="8680" max="8680" width="4.28515625" style="37" customWidth="1"/>
    <col min="8681" max="8681" width="17.140625" style="37" customWidth="1"/>
    <col min="8682" max="8682" width="4.7109375" style="37" customWidth="1"/>
    <col min="8683" max="8683" width="3" style="37" customWidth="1"/>
    <col min="8684" max="8684" width="2.42578125" style="37" customWidth="1"/>
    <col min="8685" max="8685" width="2.28515625" style="37" customWidth="1"/>
    <col min="8686" max="8686" width="20.7109375" style="37" customWidth="1"/>
    <col min="8687" max="8687" width="4.7109375" style="37" customWidth="1"/>
    <col min="8688" max="8688" width="2.85546875" style="37" customWidth="1"/>
    <col min="8689" max="8689" width="33.28515625" style="37" customWidth="1"/>
    <col min="8690" max="8690" width="4.7109375" style="37" customWidth="1"/>
    <col min="8691" max="8919" width="9.140625" style="37"/>
    <col min="8920" max="8920" width="3.42578125" style="37" customWidth="1"/>
    <col min="8921" max="8921" width="16.5703125" style="37" customWidth="1"/>
    <col min="8922" max="8922" width="4.7109375" style="37" customWidth="1"/>
    <col min="8923" max="8923" width="4.5703125" style="37" customWidth="1"/>
    <col min="8924" max="8924" width="16.85546875" style="37" customWidth="1"/>
    <col min="8925" max="8925" width="4.7109375" style="37" customWidth="1"/>
    <col min="8926" max="8926" width="5.28515625" style="37" customWidth="1"/>
    <col min="8927" max="8927" width="16.7109375" style="37" customWidth="1"/>
    <col min="8928" max="8928" width="4.7109375" style="37" customWidth="1"/>
    <col min="8929" max="8929" width="5.42578125" style="37" customWidth="1"/>
    <col min="8930" max="8930" width="16.7109375" style="37" customWidth="1"/>
    <col min="8931" max="8932" width="4.7109375" style="37" customWidth="1"/>
    <col min="8933" max="8933" width="16.7109375" style="37" customWidth="1"/>
    <col min="8934" max="8934" width="4.7109375" style="37" customWidth="1"/>
    <col min="8935" max="8935" width="2.85546875" style="37" customWidth="1"/>
    <col min="8936" max="8936" width="4.28515625" style="37" customWidth="1"/>
    <col min="8937" max="8937" width="17.140625" style="37" customWidth="1"/>
    <col min="8938" max="8938" width="4.7109375" style="37" customWidth="1"/>
    <col min="8939" max="8939" width="3" style="37" customWidth="1"/>
    <col min="8940" max="8940" width="2.42578125" style="37" customWidth="1"/>
    <col min="8941" max="8941" width="2.28515625" style="37" customWidth="1"/>
    <col min="8942" max="8942" width="20.7109375" style="37" customWidth="1"/>
    <col min="8943" max="8943" width="4.7109375" style="37" customWidth="1"/>
    <col min="8944" max="8944" width="2.85546875" style="37" customWidth="1"/>
    <col min="8945" max="8945" width="33.28515625" style="37" customWidth="1"/>
    <col min="8946" max="8946" width="4.7109375" style="37" customWidth="1"/>
    <col min="8947" max="9175" width="9.140625" style="37"/>
    <col min="9176" max="9176" width="3.42578125" style="37" customWidth="1"/>
    <col min="9177" max="9177" width="16.5703125" style="37" customWidth="1"/>
    <col min="9178" max="9178" width="4.7109375" style="37" customWidth="1"/>
    <col min="9179" max="9179" width="4.5703125" style="37" customWidth="1"/>
    <col min="9180" max="9180" width="16.85546875" style="37" customWidth="1"/>
    <col min="9181" max="9181" width="4.7109375" style="37" customWidth="1"/>
    <col min="9182" max="9182" width="5.28515625" style="37" customWidth="1"/>
    <col min="9183" max="9183" width="16.7109375" style="37" customWidth="1"/>
    <col min="9184" max="9184" width="4.7109375" style="37" customWidth="1"/>
    <col min="9185" max="9185" width="5.42578125" style="37" customWidth="1"/>
    <col min="9186" max="9186" width="16.7109375" style="37" customWidth="1"/>
    <col min="9187" max="9188" width="4.7109375" style="37" customWidth="1"/>
    <col min="9189" max="9189" width="16.7109375" style="37" customWidth="1"/>
    <col min="9190" max="9190" width="4.7109375" style="37" customWidth="1"/>
    <col min="9191" max="9191" width="2.85546875" style="37" customWidth="1"/>
    <col min="9192" max="9192" width="4.28515625" style="37" customWidth="1"/>
    <col min="9193" max="9193" width="17.140625" style="37" customWidth="1"/>
    <col min="9194" max="9194" width="4.7109375" style="37" customWidth="1"/>
    <col min="9195" max="9195" width="3" style="37" customWidth="1"/>
    <col min="9196" max="9196" width="2.42578125" style="37" customWidth="1"/>
    <col min="9197" max="9197" width="2.28515625" style="37" customWidth="1"/>
    <col min="9198" max="9198" width="20.7109375" style="37" customWidth="1"/>
    <col min="9199" max="9199" width="4.7109375" style="37" customWidth="1"/>
    <col min="9200" max="9200" width="2.85546875" style="37" customWidth="1"/>
    <col min="9201" max="9201" width="33.28515625" style="37" customWidth="1"/>
    <col min="9202" max="9202" width="4.7109375" style="37" customWidth="1"/>
    <col min="9203" max="9431" width="9.140625" style="37"/>
    <col min="9432" max="9432" width="3.42578125" style="37" customWidth="1"/>
    <col min="9433" max="9433" width="16.5703125" style="37" customWidth="1"/>
    <col min="9434" max="9434" width="4.7109375" style="37" customWidth="1"/>
    <col min="9435" max="9435" width="4.5703125" style="37" customWidth="1"/>
    <col min="9436" max="9436" width="16.85546875" style="37" customWidth="1"/>
    <col min="9437" max="9437" width="4.7109375" style="37" customWidth="1"/>
    <col min="9438" max="9438" width="5.28515625" style="37" customWidth="1"/>
    <col min="9439" max="9439" width="16.7109375" style="37" customWidth="1"/>
    <col min="9440" max="9440" width="4.7109375" style="37" customWidth="1"/>
    <col min="9441" max="9441" width="5.42578125" style="37" customWidth="1"/>
    <col min="9442" max="9442" width="16.7109375" style="37" customWidth="1"/>
    <col min="9443" max="9444" width="4.7109375" style="37" customWidth="1"/>
    <col min="9445" max="9445" width="16.7109375" style="37" customWidth="1"/>
    <col min="9446" max="9446" width="4.7109375" style="37" customWidth="1"/>
    <col min="9447" max="9447" width="2.85546875" style="37" customWidth="1"/>
    <col min="9448" max="9448" width="4.28515625" style="37" customWidth="1"/>
    <col min="9449" max="9449" width="17.140625" style="37" customWidth="1"/>
    <col min="9450" max="9450" width="4.7109375" style="37" customWidth="1"/>
    <col min="9451" max="9451" width="3" style="37" customWidth="1"/>
    <col min="9452" max="9452" width="2.42578125" style="37" customWidth="1"/>
    <col min="9453" max="9453" width="2.28515625" style="37" customWidth="1"/>
    <col min="9454" max="9454" width="20.7109375" style="37" customWidth="1"/>
    <col min="9455" max="9455" width="4.7109375" style="37" customWidth="1"/>
    <col min="9456" max="9456" width="2.85546875" style="37" customWidth="1"/>
    <col min="9457" max="9457" width="33.28515625" style="37" customWidth="1"/>
    <col min="9458" max="9458" width="4.7109375" style="37" customWidth="1"/>
    <col min="9459" max="9687" width="9.140625" style="37"/>
    <col min="9688" max="9688" width="3.42578125" style="37" customWidth="1"/>
    <col min="9689" max="9689" width="16.5703125" style="37" customWidth="1"/>
    <col min="9690" max="9690" width="4.7109375" style="37" customWidth="1"/>
    <col min="9691" max="9691" width="4.5703125" style="37" customWidth="1"/>
    <col min="9692" max="9692" width="16.85546875" style="37" customWidth="1"/>
    <col min="9693" max="9693" width="4.7109375" style="37" customWidth="1"/>
    <col min="9694" max="9694" width="5.28515625" style="37" customWidth="1"/>
    <col min="9695" max="9695" width="16.7109375" style="37" customWidth="1"/>
    <col min="9696" max="9696" width="4.7109375" style="37" customWidth="1"/>
    <col min="9697" max="9697" width="5.42578125" style="37" customWidth="1"/>
    <col min="9698" max="9698" width="16.7109375" style="37" customWidth="1"/>
    <col min="9699" max="9700" width="4.7109375" style="37" customWidth="1"/>
    <col min="9701" max="9701" width="16.7109375" style="37" customWidth="1"/>
    <col min="9702" max="9702" width="4.7109375" style="37" customWidth="1"/>
    <col min="9703" max="9703" width="2.85546875" style="37" customWidth="1"/>
    <col min="9704" max="9704" width="4.28515625" style="37" customWidth="1"/>
    <col min="9705" max="9705" width="17.140625" style="37" customWidth="1"/>
    <col min="9706" max="9706" width="4.7109375" style="37" customWidth="1"/>
    <col min="9707" max="9707" width="3" style="37" customWidth="1"/>
    <col min="9708" max="9708" width="2.42578125" style="37" customWidth="1"/>
    <col min="9709" max="9709" width="2.28515625" style="37" customWidth="1"/>
    <col min="9710" max="9710" width="20.7109375" style="37" customWidth="1"/>
    <col min="9711" max="9711" width="4.7109375" style="37" customWidth="1"/>
    <col min="9712" max="9712" width="2.85546875" style="37" customWidth="1"/>
    <col min="9713" max="9713" width="33.28515625" style="37" customWidth="1"/>
    <col min="9714" max="9714" width="4.7109375" style="37" customWidth="1"/>
    <col min="9715" max="9943" width="9.140625" style="37"/>
    <col min="9944" max="9944" width="3.42578125" style="37" customWidth="1"/>
    <col min="9945" max="9945" width="16.5703125" style="37" customWidth="1"/>
    <col min="9946" max="9946" width="4.7109375" style="37" customWidth="1"/>
    <col min="9947" max="9947" width="4.5703125" style="37" customWidth="1"/>
    <col min="9948" max="9948" width="16.85546875" style="37" customWidth="1"/>
    <col min="9949" max="9949" width="4.7109375" style="37" customWidth="1"/>
    <col min="9950" max="9950" width="5.28515625" style="37" customWidth="1"/>
    <col min="9951" max="9951" width="16.7109375" style="37" customWidth="1"/>
    <col min="9952" max="9952" width="4.7109375" style="37" customWidth="1"/>
    <col min="9953" max="9953" width="5.42578125" style="37" customWidth="1"/>
    <col min="9954" max="9954" width="16.7109375" style="37" customWidth="1"/>
    <col min="9955" max="9956" width="4.7109375" style="37" customWidth="1"/>
    <col min="9957" max="9957" width="16.7109375" style="37" customWidth="1"/>
    <col min="9958" max="9958" width="4.7109375" style="37" customWidth="1"/>
    <col min="9959" max="9959" width="2.85546875" style="37" customWidth="1"/>
    <col min="9960" max="9960" width="4.28515625" style="37" customWidth="1"/>
    <col min="9961" max="9961" width="17.140625" style="37" customWidth="1"/>
    <col min="9962" max="9962" width="4.7109375" style="37" customWidth="1"/>
    <col min="9963" max="9963" width="3" style="37" customWidth="1"/>
    <col min="9964" max="9964" width="2.42578125" style="37" customWidth="1"/>
    <col min="9965" max="9965" width="2.28515625" style="37" customWidth="1"/>
    <col min="9966" max="9966" width="20.7109375" style="37" customWidth="1"/>
    <col min="9967" max="9967" width="4.7109375" style="37" customWidth="1"/>
    <col min="9968" max="9968" width="2.85546875" style="37" customWidth="1"/>
    <col min="9969" max="9969" width="33.28515625" style="37" customWidth="1"/>
    <col min="9970" max="9970" width="4.7109375" style="37" customWidth="1"/>
    <col min="9971" max="10199" width="9.140625" style="37"/>
    <col min="10200" max="10200" width="3.42578125" style="37" customWidth="1"/>
    <col min="10201" max="10201" width="16.5703125" style="37" customWidth="1"/>
    <col min="10202" max="10202" width="4.7109375" style="37" customWidth="1"/>
    <col min="10203" max="10203" width="4.5703125" style="37" customWidth="1"/>
    <col min="10204" max="10204" width="16.85546875" style="37" customWidth="1"/>
    <col min="10205" max="10205" width="4.7109375" style="37" customWidth="1"/>
    <col min="10206" max="10206" width="5.28515625" style="37" customWidth="1"/>
    <col min="10207" max="10207" width="16.7109375" style="37" customWidth="1"/>
    <col min="10208" max="10208" width="4.7109375" style="37" customWidth="1"/>
    <col min="10209" max="10209" width="5.42578125" style="37" customWidth="1"/>
    <col min="10210" max="10210" width="16.7109375" style="37" customWidth="1"/>
    <col min="10211" max="10212" width="4.7109375" style="37" customWidth="1"/>
    <col min="10213" max="10213" width="16.7109375" style="37" customWidth="1"/>
    <col min="10214" max="10214" width="4.7109375" style="37" customWidth="1"/>
    <col min="10215" max="10215" width="2.85546875" style="37" customWidth="1"/>
    <col min="10216" max="10216" width="4.28515625" style="37" customWidth="1"/>
    <col min="10217" max="10217" width="17.140625" style="37" customWidth="1"/>
    <col min="10218" max="10218" width="4.7109375" style="37" customWidth="1"/>
    <col min="10219" max="10219" width="3" style="37" customWidth="1"/>
    <col min="10220" max="10220" width="2.42578125" style="37" customWidth="1"/>
    <col min="10221" max="10221" width="2.28515625" style="37" customWidth="1"/>
    <col min="10222" max="10222" width="20.7109375" style="37" customWidth="1"/>
    <col min="10223" max="10223" width="4.7109375" style="37" customWidth="1"/>
    <col min="10224" max="10224" width="2.85546875" style="37" customWidth="1"/>
    <col min="10225" max="10225" width="33.28515625" style="37" customWidth="1"/>
    <col min="10226" max="10226" width="4.7109375" style="37" customWidth="1"/>
    <col min="10227" max="10455" width="9.140625" style="37"/>
    <col min="10456" max="10456" width="3.42578125" style="37" customWidth="1"/>
    <col min="10457" max="10457" width="16.5703125" style="37" customWidth="1"/>
    <col min="10458" max="10458" width="4.7109375" style="37" customWidth="1"/>
    <col min="10459" max="10459" width="4.5703125" style="37" customWidth="1"/>
    <col min="10460" max="10460" width="16.85546875" style="37" customWidth="1"/>
    <col min="10461" max="10461" width="4.7109375" style="37" customWidth="1"/>
    <col min="10462" max="10462" width="5.28515625" style="37" customWidth="1"/>
    <col min="10463" max="10463" width="16.7109375" style="37" customWidth="1"/>
    <col min="10464" max="10464" width="4.7109375" style="37" customWidth="1"/>
    <col min="10465" max="10465" width="5.42578125" style="37" customWidth="1"/>
    <col min="10466" max="10466" width="16.7109375" style="37" customWidth="1"/>
    <col min="10467" max="10468" width="4.7109375" style="37" customWidth="1"/>
    <col min="10469" max="10469" width="16.7109375" style="37" customWidth="1"/>
    <col min="10470" max="10470" width="4.7109375" style="37" customWidth="1"/>
    <col min="10471" max="10471" width="2.85546875" style="37" customWidth="1"/>
    <col min="10472" max="10472" width="4.28515625" style="37" customWidth="1"/>
    <col min="10473" max="10473" width="17.140625" style="37" customWidth="1"/>
    <col min="10474" max="10474" width="4.7109375" style="37" customWidth="1"/>
    <col min="10475" max="10475" width="3" style="37" customWidth="1"/>
    <col min="10476" max="10476" width="2.42578125" style="37" customWidth="1"/>
    <col min="10477" max="10477" width="2.28515625" style="37" customWidth="1"/>
    <col min="10478" max="10478" width="20.7109375" style="37" customWidth="1"/>
    <col min="10479" max="10479" width="4.7109375" style="37" customWidth="1"/>
    <col min="10480" max="10480" width="2.85546875" style="37" customWidth="1"/>
    <col min="10481" max="10481" width="33.28515625" style="37" customWidth="1"/>
    <col min="10482" max="10482" width="4.7109375" style="37" customWidth="1"/>
    <col min="10483" max="10711" width="9.140625" style="37"/>
    <col min="10712" max="10712" width="3.42578125" style="37" customWidth="1"/>
    <col min="10713" max="10713" width="16.5703125" style="37" customWidth="1"/>
    <col min="10714" max="10714" width="4.7109375" style="37" customWidth="1"/>
    <col min="10715" max="10715" width="4.5703125" style="37" customWidth="1"/>
    <col min="10716" max="10716" width="16.85546875" style="37" customWidth="1"/>
    <col min="10717" max="10717" width="4.7109375" style="37" customWidth="1"/>
    <col min="10718" max="10718" width="5.28515625" style="37" customWidth="1"/>
    <col min="10719" max="10719" width="16.7109375" style="37" customWidth="1"/>
    <col min="10720" max="10720" width="4.7109375" style="37" customWidth="1"/>
    <col min="10721" max="10721" width="5.42578125" style="37" customWidth="1"/>
    <col min="10722" max="10722" width="16.7109375" style="37" customWidth="1"/>
    <col min="10723" max="10724" width="4.7109375" style="37" customWidth="1"/>
    <col min="10725" max="10725" width="16.7109375" style="37" customWidth="1"/>
    <col min="10726" max="10726" width="4.7109375" style="37" customWidth="1"/>
    <col min="10727" max="10727" width="2.85546875" style="37" customWidth="1"/>
    <col min="10728" max="10728" width="4.28515625" style="37" customWidth="1"/>
    <col min="10729" max="10729" width="17.140625" style="37" customWidth="1"/>
    <col min="10730" max="10730" width="4.7109375" style="37" customWidth="1"/>
    <col min="10731" max="10731" width="3" style="37" customWidth="1"/>
    <col min="10732" max="10732" width="2.42578125" style="37" customWidth="1"/>
    <col min="10733" max="10733" width="2.28515625" style="37" customWidth="1"/>
    <col min="10734" max="10734" width="20.7109375" style="37" customWidth="1"/>
    <col min="10735" max="10735" width="4.7109375" style="37" customWidth="1"/>
    <col min="10736" max="10736" width="2.85546875" style="37" customWidth="1"/>
    <col min="10737" max="10737" width="33.28515625" style="37" customWidth="1"/>
    <col min="10738" max="10738" width="4.7109375" style="37" customWidth="1"/>
    <col min="10739" max="10967" width="9.140625" style="37"/>
    <col min="10968" max="10968" width="3.42578125" style="37" customWidth="1"/>
    <col min="10969" max="10969" width="16.5703125" style="37" customWidth="1"/>
    <col min="10970" max="10970" width="4.7109375" style="37" customWidth="1"/>
    <col min="10971" max="10971" width="4.5703125" style="37" customWidth="1"/>
    <col min="10972" max="10972" width="16.85546875" style="37" customWidth="1"/>
    <col min="10973" max="10973" width="4.7109375" style="37" customWidth="1"/>
    <col min="10974" max="10974" width="5.28515625" style="37" customWidth="1"/>
    <col min="10975" max="10975" width="16.7109375" style="37" customWidth="1"/>
    <col min="10976" max="10976" width="4.7109375" style="37" customWidth="1"/>
    <col min="10977" max="10977" width="5.42578125" style="37" customWidth="1"/>
    <col min="10978" max="10978" width="16.7109375" style="37" customWidth="1"/>
    <col min="10979" max="10980" width="4.7109375" style="37" customWidth="1"/>
    <col min="10981" max="10981" width="16.7109375" style="37" customWidth="1"/>
    <col min="10982" max="10982" width="4.7109375" style="37" customWidth="1"/>
    <col min="10983" max="10983" width="2.85546875" style="37" customWidth="1"/>
    <col min="10984" max="10984" width="4.28515625" style="37" customWidth="1"/>
    <col min="10985" max="10985" width="17.140625" style="37" customWidth="1"/>
    <col min="10986" max="10986" width="4.7109375" style="37" customWidth="1"/>
    <col min="10987" max="10987" width="3" style="37" customWidth="1"/>
    <col min="10988" max="10988" width="2.42578125" style="37" customWidth="1"/>
    <col min="10989" max="10989" width="2.28515625" style="37" customWidth="1"/>
    <col min="10990" max="10990" width="20.7109375" style="37" customWidth="1"/>
    <col min="10991" max="10991" width="4.7109375" style="37" customWidth="1"/>
    <col min="10992" max="10992" width="2.85546875" style="37" customWidth="1"/>
    <col min="10993" max="10993" width="33.28515625" style="37" customWidth="1"/>
    <col min="10994" max="10994" width="4.7109375" style="37" customWidth="1"/>
    <col min="10995" max="11223" width="9.140625" style="37"/>
    <col min="11224" max="11224" width="3.42578125" style="37" customWidth="1"/>
    <col min="11225" max="11225" width="16.5703125" style="37" customWidth="1"/>
    <col min="11226" max="11226" width="4.7109375" style="37" customWidth="1"/>
    <col min="11227" max="11227" width="4.5703125" style="37" customWidth="1"/>
    <col min="11228" max="11228" width="16.85546875" style="37" customWidth="1"/>
    <col min="11229" max="11229" width="4.7109375" style="37" customWidth="1"/>
    <col min="11230" max="11230" width="5.28515625" style="37" customWidth="1"/>
    <col min="11231" max="11231" width="16.7109375" style="37" customWidth="1"/>
    <col min="11232" max="11232" width="4.7109375" style="37" customWidth="1"/>
    <col min="11233" max="11233" width="5.42578125" style="37" customWidth="1"/>
    <col min="11234" max="11234" width="16.7109375" style="37" customWidth="1"/>
    <col min="11235" max="11236" width="4.7109375" style="37" customWidth="1"/>
    <col min="11237" max="11237" width="16.7109375" style="37" customWidth="1"/>
    <col min="11238" max="11238" width="4.7109375" style="37" customWidth="1"/>
    <col min="11239" max="11239" width="2.85546875" style="37" customWidth="1"/>
    <col min="11240" max="11240" width="4.28515625" style="37" customWidth="1"/>
    <col min="11241" max="11241" width="17.140625" style="37" customWidth="1"/>
    <col min="11242" max="11242" width="4.7109375" style="37" customWidth="1"/>
    <col min="11243" max="11243" width="3" style="37" customWidth="1"/>
    <col min="11244" max="11244" width="2.42578125" style="37" customWidth="1"/>
    <col min="11245" max="11245" width="2.28515625" style="37" customWidth="1"/>
    <col min="11246" max="11246" width="20.7109375" style="37" customWidth="1"/>
    <col min="11247" max="11247" width="4.7109375" style="37" customWidth="1"/>
    <col min="11248" max="11248" width="2.85546875" style="37" customWidth="1"/>
    <col min="11249" max="11249" width="33.28515625" style="37" customWidth="1"/>
    <col min="11250" max="11250" width="4.7109375" style="37" customWidth="1"/>
    <col min="11251" max="11479" width="9.140625" style="37"/>
    <col min="11480" max="11480" width="3.42578125" style="37" customWidth="1"/>
    <col min="11481" max="11481" width="16.5703125" style="37" customWidth="1"/>
    <col min="11482" max="11482" width="4.7109375" style="37" customWidth="1"/>
    <col min="11483" max="11483" width="4.5703125" style="37" customWidth="1"/>
    <col min="11484" max="11484" width="16.85546875" style="37" customWidth="1"/>
    <col min="11485" max="11485" width="4.7109375" style="37" customWidth="1"/>
    <col min="11486" max="11486" width="5.28515625" style="37" customWidth="1"/>
    <col min="11487" max="11487" width="16.7109375" style="37" customWidth="1"/>
    <col min="11488" max="11488" width="4.7109375" style="37" customWidth="1"/>
    <col min="11489" max="11489" width="5.42578125" style="37" customWidth="1"/>
    <col min="11490" max="11490" width="16.7109375" style="37" customWidth="1"/>
    <col min="11491" max="11492" width="4.7109375" style="37" customWidth="1"/>
    <col min="11493" max="11493" width="16.7109375" style="37" customWidth="1"/>
    <col min="11494" max="11494" width="4.7109375" style="37" customWidth="1"/>
    <col min="11495" max="11495" width="2.85546875" style="37" customWidth="1"/>
    <col min="11496" max="11496" width="4.28515625" style="37" customWidth="1"/>
    <col min="11497" max="11497" width="17.140625" style="37" customWidth="1"/>
    <col min="11498" max="11498" width="4.7109375" style="37" customWidth="1"/>
    <col min="11499" max="11499" width="3" style="37" customWidth="1"/>
    <col min="11500" max="11500" width="2.42578125" style="37" customWidth="1"/>
    <col min="11501" max="11501" width="2.28515625" style="37" customWidth="1"/>
    <col min="11502" max="11502" width="20.7109375" style="37" customWidth="1"/>
    <col min="11503" max="11503" width="4.7109375" style="37" customWidth="1"/>
    <col min="11504" max="11504" width="2.85546875" style="37" customWidth="1"/>
    <col min="11505" max="11505" width="33.28515625" style="37" customWidth="1"/>
    <col min="11506" max="11506" width="4.7109375" style="37" customWidth="1"/>
    <col min="11507" max="11735" width="9.140625" style="37"/>
    <col min="11736" max="11736" width="3.42578125" style="37" customWidth="1"/>
    <col min="11737" max="11737" width="16.5703125" style="37" customWidth="1"/>
    <col min="11738" max="11738" width="4.7109375" style="37" customWidth="1"/>
    <col min="11739" max="11739" width="4.5703125" style="37" customWidth="1"/>
    <col min="11740" max="11740" width="16.85546875" style="37" customWidth="1"/>
    <col min="11741" max="11741" width="4.7109375" style="37" customWidth="1"/>
    <col min="11742" max="11742" width="5.28515625" style="37" customWidth="1"/>
    <col min="11743" max="11743" width="16.7109375" style="37" customWidth="1"/>
    <col min="11744" max="11744" width="4.7109375" style="37" customWidth="1"/>
    <col min="11745" max="11745" width="5.42578125" style="37" customWidth="1"/>
    <col min="11746" max="11746" width="16.7109375" style="37" customWidth="1"/>
    <col min="11747" max="11748" width="4.7109375" style="37" customWidth="1"/>
    <col min="11749" max="11749" width="16.7109375" style="37" customWidth="1"/>
    <col min="11750" max="11750" width="4.7109375" style="37" customWidth="1"/>
    <col min="11751" max="11751" width="2.85546875" style="37" customWidth="1"/>
    <col min="11752" max="11752" width="4.28515625" style="37" customWidth="1"/>
    <col min="11753" max="11753" width="17.140625" style="37" customWidth="1"/>
    <col min="11754" max="11754" width="4.7109375" style="37" customWidth="1"/>
    <col min="11755" max="11755" width="3" style="37" customWidth="1"/>
    <col min="11756" max="11756" width="2.42578125" style="37" customWidth="1"/>
    <col min="11757" max="11757" width="2.28515625" style="37" customWidth="1"/>
    <col min="11758" max="11758" width="20.7109375" style="37" customWidth="1"/>
    <col min="11759" max="11759" width="4.7109375" style="37" customWidth="1"/>
    <col min="11760" max="11760" width="2.85546875" style="37" customWidth="1"/>
    <col min="11761" max="11761" width="33.28515625" style="37" customWidth="1"/>
    <col min="11762" max="11762" width="4.7109375" style="37" customWidth="1"/>
    <col min="11763" max="11991" width="9.140625" style="37"/>
    <col min="11992" max="11992" width="3.42578125" style="37" customWidth="1"/>
    <col min="11993" max="11993" width="16.5703125" style="37" customWidth="1"/>
    <col min="11994" max="11994" width="4.7109375" style="37" customWidth="1"/>
    <col min="11995" max="11995" width="4.5703125" style="37" customWidth="1"/>
    <col min="11996" max="11996" width="16.85546875" style="37" customWidth="1"/>
    <col min="11997" max="11997" width="4.7109375" style="37" customWidth="1"/>
    <col min="11998" max="11998" width="5.28515625" style="37" customWidth="1"/>
    <col min="11999" max="11999" width="16.7109375" style="37" customWidth="1"/>
    <col min="12000" max="12000" width="4.7109375" style="37" customWidth="1"/>
    <col min="12001" max="12001" width="5.42578125" style="37" customWidth="1"/>
    <col min="12002" max="12002" width="16.7109375" style="37" customWidth="1"/>
    <col min="12003" max="12004" width="4.7109375" style="37" customWidth="1"/>
    <col min="12005" max="12005" width="16.7109375" style="37" customWidth="1"/>
    <col min="12006" max="12006" width="4.7109375" style="37" customWidth="1"/>
    <col min="12007" max="12007" width="2.85546875" style="37" customWidth="1"/>
    <col min="12008" max="12008" width="4.28515625" style="37" customWidth="1"/>
    <col min="12009" max="12009" width="17.140625" style="37" customWidth="1"/>
    <col min="12010" max="12010" width="4.7109375" style="37" customWidth="1"/>
    <col min="12011" max="12011" width="3" style="37" customWidth="1"/>
    <col min="12012" max="12012" width="2.42578125" style="37" customWidth="1"/>
    <col min="12013" max="12013" width="2.28515625" style="37" customWidth="1"/>
    <col min="12014" max="12014" width="20.7109375" style="37" customWidth="1"/>
    <col min="12015" max="12015" width="4.7109375" style="37" customWidth="1"/>
    <col min="12016" max="12016" width="2.85546875" style="37" customWidth="1"/>
    <col min="12017" max="12017" width="33.28515625" style="37" customWidth="1"/>
    <col min="12018" max="12018" width="4.7109375" style="37" customWidth="1"/>
    <col min="12019" max="12247" width="9.140625" style="37"/>
    <col min="12248" max="12248" width="3.42578125" style="37" customWidth="1"/>
    <col min="12249" max="12249" width="16.5703125" style="37" customWidth="1"/>
    <col min="12250" max="12250" width="4.7109375" style="37" customWidth="1"/>
    <col min="12251" max="12251" width="4.5703125" style="37" customWidth="1"/>
    <col min="12252" max="12252" width="16.85546875" style="37" customWidth="1"/>
    <col min="12253" max="12253" width="4.7109375" style="37" customWidth="1"/>
    <col min="12254" max="12254" width="5.28515625" style="37" customWidth="1"/>
    <col min="12255" max="12255" width="16.7109375" style="37" customWidth="1"/>
    <col min="12256" max="12256" width="4.7109375" style="37" customWidth="1"/>
    <col min="12257" max="12257" width="5.42578125" style="37" customWidth="1"/>
    <col min="12258" max="12258" width="16.7109375" style="37" customWidth="1"/>
    <col min="12259" max="12260" width="4.7109375" style="37" customWidth="1"/>
    <col min="12261" max="12261" width="16.7109375" style="37" customWidth="1"/>
    <col min="12262" max="12262" width="4.7109375" style="37" customWidth="1"/>
    <col min="12263" max="12263" width="2.85546875" style="37" customWidth="1"/>
    <col min="12264" max="12264" width="4.28515625" style="37" customWidth="1"/>
    <col min="12265" max="12265" width="17.140625" style="37" customWidth="1"/>
    <col min="12266" max="12266" width="4.7109375" style="37" customWidth="1"/>
    <col min="12267" max="12267" width="3" style="37" customWidth="1"/>
    <col min="12268" max="12268" width="2.42578125" style="37" customWidth="1"/>
    <col min="12269" max="12269" width="2.28515625" style="37" customWidth="1"/>
    <col min="12270" max="12270" width="20.7109375" style="37" customWidth="1"/>
    <col min="12271" max="12271" width="4.7109375" style="37" customWidth="1"/>
    <col min="12272" max="12272" width="2.85546875" style="37" customWidth="1"/>
    <col min="12273" max="12273" width="33.28515625" style="37" customWidth="1"/>
    <col min="12274" max="12274" width="4.7109375" style="37" customWidth="1"/>
    <col min="12275" max="12503" width="9.140625" style="37"/>
    <col min="12504" max="12504" width="3.42578125" style="37" customWidth="1"/>
    <col min="12505" max="12505" width="16.5703125" style="37" customWidth="1"/>
    <col min="12506" max="12506" width="4.7109375" style="37" customWidth="1"/>
    <col min="12507" max="12507" width="4.5703125" style="37" customWidth="1"/>
    <col min="12508" max="12508" width="16.85546875" style="37" customWidth="1"/>
    <col min="12509" max="12509" width="4.7109375" style="37" customWidth="1"/>
    <col min="12510" max="12510" width="5.28515625" style="37" customWidth="1"/>
    <col min="12511" max="12511" width="16.7109375" style="37" customWidth="1"/>
    <col min="12512" max="12512" width="4.7109375" style="37" customWidth="1"/>
    <col min="12513" max="12513" width="5.42578125" style="37" customWidth="1"/>
    <col min="12514" max="12514" width="16.7109375" style="37" customWidth="1"/>
    <col min="12515" max="12516" width="4.7109375" style="37" customWidth="1"/>
    <col min="12517" max="12517" width="16.7109375" style="37" customWidth="1"/>
    <col min="12518" max="12518" width="4.7109375" style="37" customWidth="1"/>
    <col min="12519" max="12519" width="2.85546875" style="37" customWidth="1"/>
    <col min="12520" max="12520" width="4.28515625" style="37" customWidth="1"/>
    <col min="12521" max="12521" width="17.140625" style="37" customWidth="1"/>
    <col min="12522" max="12522" width="4.7109375" style="37" customWidth="1"/>
    <col min="12523" max="12523" width="3" style="37" customWidth="1"/>
    <col min="12524" max="12524" width="2.42578125" style="37" customWidth="1"/>
    <col min="12525" max="12525" width="2.28515625" style="37" customWidth="1"/>
    <col min="12526" max="12526" width="20.7109375" style="37" customWidth="1"/>
    <col min="12527" max="12527" width="4.7109375" style="37" customWidth="1"/>
    <col min="12528" max="12528" width="2.85546875" style="37" customWidth="1"/>
    <col min="12529" max="12529" width="33.28515625" style="37" customWidth="1"/>
    <col min="12530" max="12530" width="4.7109375" style="37" customWidth="1"/>
    <col min="12531" max="12759" width="9.140625" style="37"/>
    <col min="12760" max="12760" width="3.42578125" style="37" customWidth="1"/>
    <col min="12761" max="12761" width="16.5703125" style="37" customWidth="1"/>
    <col min="12762" max="12762" width="4.7109375" style="37" customWidth="1"/>
    <col min="12763" max="12763" width="4.5703125" style="37" customWidth="1"/>
    <col min="12764" max="12764" width="16.85546875" style="37" customWidth="1"/>
    <col min="12765" max="12765" width="4.7109375" style="37" customWidth="1"/>
    <col min="12766" max="12766" width="5.28515625" style="37" customWidth="1"/>
    <col min="12767" max="12767" width="16.7109375" style="37" customWidth="1"/>
    <col min="12768" max="12768" width="4.7109375" style="37" customWidth="1"/>
    <col min="12769" max="12769" width="5.42578125" style="37" customWidth="1"/>
    <col min="12770" max="12770" width="16.7109375" style="37" customWidth="1"/>
    <col min="12771" max="12772" width="4.7109375" style="37" customWidth="1"/>
    <col min="12773" max="12773" width="16.7109375" style="37" customWidth="1"/>
    <col min="12774" max="12774" width="4.7109375" style="37" customWidth="1"/>
    <col min="12775" max="12775" width="2.85546875" style="37" customWidth="1"/>
    <col min="12776" max="12776" width="4.28515625" style="37" customWidth="1"/>
    <col min="12777" max="12777" width="17.140625" style="37" customWidth="1"/>
    <col min="12778" max="12778" width="4.7109375" style="37" customWidth="1"/>
    <col min="12779" max="12779" width="3" style="37" customWidth="1"/>
    <col min="12780" max="12780" width="2.42578125" style="37" customWidth="1"/>
    <col min="12781" max="12781" width="2.28515625" style="37" customWidth="1"/>
    <col min="12782" max="12782" width="20.7109375" style="37" customWidth="1"/>
    <col min="12783" max="12783" width="4.7109375" style="37" customWidth="1"/>
    <col min="12784" max="12784" width="2.85546875" style="37" customWidth="1"/>
    <col min="12785" max="12785" width="33.28515625" style="37" customWidth="1"/>
    <col min="12786" max="12786" width="4.7109375" style="37" customWidth="1"/>
    <col min="12787" max="13015" width="9.140625" style="37"/>
    <col min="13016" max="13016" width="3.42578125" style="37" customWidth="1"/>
    <col min="13017" max="13017" width="16.5703125" style="37" customWidth="1"/>
    <col min="13018" max="13018" width="4.7109375" style="37" customWidth="1"/>
    <col min="13019" max="13019" width="4.5703125" style="37" customWidth="1"/>
    <col min="13020" max="13020" width="16.85546875" style="37" customWidth="1"/>
    <col min="13021" max="13021" width="4.7109375" style="37" customWidth="1"/>
    <col min="13022" max="13022" width="5.28515625" style="37" customWidth="1"/>
    <col min="13023" max="13023" width="16.7109375" style="37" customWidth="1"/>
    <col min="13024" max="13024" width="4.7109375" style="37" customWidth="1"/>
    <col min="13025" max="13025" width="5.42578125" style="37" customWidth="1"/>
    <col min="13026" max="13026" width="16.7109375" style="37" customWidth="1"/>
    <col min="13027" max="13028" width="4.7109375" style="37" customWidth="1"/>
    <col min="13029" max="13029" width="16.7109375" style="37" customWidth="1"/>
    <col min="13030" max="13030" width="4.7109375" style="37" customWidth="1"/>
    <col min="13031" max="13031" width="2.85546875" style="37" customWidth="1"/>
    <col min="13032" max="13032" width="4.28515625" style="37" customWidth="1"/>
    <col min="13033" max="13033" width="17.140625" style="37" customWidth="1"/>
    <col min="13034" max="13034" width="4.7109375" style="37" customWidth="1"/>
    <col min="13035" max="13035" width="3" style="37" customWidth="1"/>
    <col min="13036" max="13036" width="2.42578125" style="37" customWidth="1"/>
    <col min="13037" max="13037" width="2.28515625" style="37" customWidth="1"/>
    <col min="13038" max="13038" width="20.7109375" style="37" customWidth="1"/>
    <col min="13039" max="13039" width="4.7109375" style="37" customWidth="1"/>
    <col min="13040" max="13040" width="2.85546875" style="37" customWidth="1"/>
    <col min="13041" max="13041" width="33.28515625" style="37" customWidth="1"/>
    <col min="13042" max="13042" width="4.7109375" style="37" customWidth="1"/>
    <col min="13043" max="13271" width="9.140625" style="37"/>
    <col min="13272" max="13272" width="3.42578125" style="37" customWidth="1"/>
    <col min="13273" max="13273" width="16.5703125" style="37" customWidth="1"/>
    <col min="13274" max="13274" width="4.7109375" style="37" customWidth="1"/>
    <col min="13275" max="13275" width="4.5703125" style="37" customWidth="1"/>
    <col min="13276" max="13276" width="16.85546875" style="37" customWidth="1"/>
    <col min="13277" max="13277" width="4.7109375" style="37" customWidth="1"/>
    <col min="13278" max="13278" width="5.28515625" style="37" customWidth="1"/>
    <col min="13279" max="13279" width="16.7109375" style="37" customWidth="1"/>
    <col min="13280" max="13280" width="4.7109375" style="37" customWidth="1"/>
    <col min="13281" max="13281" width="5.42578125" style="37" customWidth="1"/>
    <col min="13282" max="13282" width="16.7109375" style="37" customWidth="1"/>
    <col min="13283" max="13284" width="4.7109375" style="37" customWidth="1"/>
    <col min="13285" max="13285" width="16.7109375" style="37" customWidth="1"/>
    <col min="13286" max="13286" width="4.7109375" style="37" customWidth="1"/>
    <col min="13287" max="13287" width="2.85546875" style="37" customWidth="1"/>
    <col min="13288" max="13288" width="4.28515625" style="37" customWidth="1"/>
    <col min="13289" max="13289" width="17.140625" style="37" customWidth="1"/>
    <col min="13290" max="13290" width="4.7109375" style="37" customWidth="1"/>
    <col min="13291" max="13291" width="3" style="37" customWidth="1"/>
    <col min="13292" max="13292" width="2.42578125" style="37" customWidth="1"/>
    <col min="13293" max="13293" width="2.28515625" style="37" customWidth="1"/>
    <col min="13294" max="13294" width="20.7109375" style="37" customWidth="1"/>
    <col min="13295" max="13295" width="4.7109375" style="37" customWidth="1"/>
    <col min="13296" max="13296" width="2.85546875" style="37" customWidth="1"/>
    <col min="13297" max="13297" width="33.28515625" style="37" customWidth="1"/>
    <col min="13298" max="13298" width="4.7109375" style="37" customWidth="1"/>
    <col min="13299" max="13527" width="9.140625" style="37"/>
    <col min="13528" max="13528" width="3.42578125" style="37" customWidth="1"/>
    <col min="13529" max="13529" width="16.5703125" style="37" customWidth="1"/>
    <col min="13530" max="13530" width="4.7109375" style="37" customWidth="1"/>
    <col min="13531" max="13531" width="4.5703125" style="37" customWidth="1"/>
    <col min="13532" max="13532" width="16.85546875" style="37" customWidth="1"/>
    <col min="13533" max="13533" width="4.7109375" style="37" customWidth="1"/>
    <col min="13534" max="13534" width="5.28515625" style="37" customWidth="1"/>
    <col min="13535" max="13535" width="16.7109375" style="37" customWidth="1"/>
    <col min="13536" max="13536" width="4.7109375" style="37" customWidth="1"/>
    <col min="13537" max="13537" width="5.42578125" style="37" customWidth="1"/>
    <col min="13538" max="13538" width="16.7109375" style="37" customWidth="1"/>
    <col min="13539" max="13540" width="4.7109375" style="37" customWidth="1"/>
    <col min="13541" max="13541" width="16.7109375" style="37" customWidth="1"/>
    <col min="13542" max="13542" width="4.7109375" style="37" customWidth="1"/>
    <col min="13543" max="13543" width="2.85546875" style="37" customWidth="1"/>
    <col min="13544" max="13544" width="4.28515625" style="37" customWidth="1"/>
    <col min="13545" max="13545" width="17.140625" style="37" customWidth="1"/>
    <col min="13546" max="13546" width="4.7109375" style="37" customWidth="1"/>
    <col min="13547" max="13547" width="3" style="37" customWidth="1"/>
    <col min="13548" max="13548" width="2.42578125" style="37" customWidth="1"/>
    <col min="13549" max="13549" width="2.28515625" style="37" customWidth="1"/>
    <col min="13550" max="13550" width="20.7109375" style="37" customWidth="1"/>
    <col min="13551" max="13551" width="4.7109375" style="37" customWidth="1"/>
    <col min="13552" max="13552" width="2.85546875" style="37" customWidth="1"/>
    <col min="13553" max="13553" width="33.28515625" style="37" customWidth="1"/>
    <col min="13554" max="13554" width="4.7109375" style="37" customWidth="1"/>
    <col min="13555" max="13783" width="9.140625" style="37"/>
    <col min="13784" max="13784" width="3.42578125" style="37" customWidth="1"/>
    <col min="13785" max="13785" width="16.5703125" style="37" customWidth="1"/>
    <col min="13786" max="13786" width="4.7109375" style="37" customWidth="1"/>
    <col min="13787" max="13787" width="4.5703125" style="37" customWidth="1"/>
    <col min="13788" max="13788" width="16.85546875" style="37" customWidth="1"/>
    <col min="13789" max="13789" width="4.7109375" style="37" customWidth="1"/>
    <col min="13790" max="13790" width="5.28515625" style="37" customWidth="1"/>
    <col min="13791" max="13791" width="16.7109375" style="37" customWidth="1"/>
    <col min="13792" max="13792" width="4.7109375" style="37" customWidth="1"/>
    <col min="13793" max="13793" width="5.42578125" style="37" customWidth="1"/>
    <col min="13794" max="13794" width="16.7109375" style="37" customWidth="1"/>
    <col min="13795" max="13796" width="4.7109375" style="37" customWidth="1"/>
    <col min="13797" max="13797" width="16.7109375" style="37" customWidth="1"/>
    <col min="13798" max="13798" width="4.7109375" style="37" customWidth="1"/>
    <col min="13799" max="13799" width="2.85546875" style="37" customWidth="1"/>
    <col min="13800" max="13800" width="4.28515625" style="37" customWidth="1"/>
    <col min="13801" max="13801" width="17.140625" style="37" customWidth="1"/>
    <col min="13802" max="13802" width="4.7109375" style="37" customWidth="1"/>
    <col min="13803" max="13803" width="3" style="37" customWidth="1"/>
    <col min="13804" max="13804" width="2.42578125" style="37" customWidth="1"/>
    <col min="13805" max="13805" width="2.28515625" style="37" customWidth="1"/>
    <col min="13806" max="13806" width="20.7109375" style="37" customWidth="1"/>
    <col min="13807" max="13807" width="4.7109375" style="37" customWidth="1"/>
    <col min="13808" max="13808" width="2.85546875" style="37" customWidth="1"/>
    <col min="13809" max="13809" width="33.28515625" style="37" customWidth="1"/>
    <col min="13810" max="13810" width="4.7109375" style="37" customWidth="1"/>
    <col min="13811" max="14039" width="9.140625" style="37"/>
    <col min="14040" max="14040" width="3.42578125" style="37" customWidth="1"/>
    <col min="14041" max="14041" width="16.5703125" style="37" customWidth="1"/>
    <col min="14042" max="14042" width="4.7109375" style="37" customWidth="1"/>
    <col min="14043" max="14043" width="4.5703125" style="37" customWidth="1"/>
    <col min="14044" max="14044" width="16.85546875" style="37" customWidth="1"/>
    <col min="14045" max="14045" width="4.7109375" style="37" customWidth="1"/>
    <col min="14046" max="14046" width="5.28515625" style="37" customWidth="1"/>
    <col min="14047" max="14047" width="16.7109375" style="37" customWidth="1"/>
    <col min="14048" max="14048" width="4.7109375" style="37" customWidth="1"/>
    <col min="14049" max="14049" width="5.42578125" style="37" customWidth="1"/>
    <col min="14050" max="14050" width="16.7109375" style="37" customWidth="1"/>
    <col min="14051" max="14052" width="4.7109375" style="37" customWidth="1"/>
    <col min="14053" max="14053" width="16.7109375" style="37" customWidth="1"/>
    <col min="14054" max="14054" width="4.7109375" style="37" customWidth="1"/>
    <col min="14055" max="14055" width="2.85546875" style="37" customWidth="1"/>
    <col min="14056" max="14056" width="4.28515625" style="37" customWidth="1"/>
    <col min="14057" max="14057" width="17.140625" style="37" customWidth="1"/>
    <col min="14058" max="14058" width="4.7109375" style="37" customWidth="1"/>
    <col min="14059" max="14059" width="3" style="37" customWidth="1"/>
    <col min="14060" max="14060" width="2.42578125" style="37" customWidth="1"/>
    <col min="14061" max="14061" width="2.28515625" style="37" customWidth="1"/>
    <col min="14062" max="14062" width="20.7109375" style="37" customWidth="1"/>
    <col min="14063" max="14063" width="4.7109375" style="37" customWidth="1"/>
    <col min="14064" max="14064" width="2.85546875" style="37" customWidth="1"/>
    <col min="14065" max="14065" width="33.28515625" style="37" customWidth="1"/>
    <col min="14066" max="14066" width="4.7109375" style="37" customWidth="1"/>
    <col min="14067" max="14295" width="9.140625" style="37"/>
    <col min="14296" max="14296" width="3.42578125" style="37" customWidth="1"/>
    <col min="14297" max="14297" width="16.5703125" style="37" customWidth="1"/>
    <col min="14298" max="14298" width="4.7109375" style="37" customWidth="1"/>
    <col min="14299" max="14299" width="4.5703125" style="37" customWidth="1"/>
    <col min="14300" max="14300" width="16.85546875" style="37" customWidth="1"/>
    <col min="14301" max="14301" width="4.7109375" style="37" customWidth="1"/>
    <col min="14302" max="14302" width="5.28515625" style="37" customWidth="1"/>
    <col min="14303" max="14303" width="16.7109375" style="37" customWidth="1"/>
    <col min="14304" max="14304" width="4.7109375" style="37" customWidth="1"/>
    <col min="14305" max="14305" width="5.42578125" style="37" customWidth="1"/>
    <col min="14306" max="14306" width="16.7109375" style="37" customWidth="1"/>
    <col min="14307" max="14308" width="4.7109375" style="37" customWidth="1"/>
    <col min="14309" max="14309" width="16.7109375" style="37" customWidth="1"/>
    <col min="14310" max="14310" width="4.7109375" style="37" customWidth="1"/>
    <col min="14311" max="14311" width="2.85546875" style="37" customWidth="1"/>
    <col min="14312" max="14312" width="4.28515625" style="37" customWidth="1"/>
    <col min="14313" max="14313" width="17.140625" style="37" customWidth="1"/>
    <col min="14314" max="14314" width="4.7109375" style="37" customWidth="1"/>
    <col min="14315" max="14315" width="3" style="37" customWidth="1"/>
    <col min="14316" max="14316" width="2.42578125" style="37" customWidth="1"/>
    <col min="14317" max="14317" width="2.28515625" style="37" customWidth="1"/>
    <col min="14318" max="14318" width="20.7109375" style="37" customWidth="1"/>
    <col min="14319" max="14319" width="4.7109375" style="37" customWidth="1"/>
    <col min="14320" max="14320" width="2.85546875" style="37" customWidth="1"/>
    <col min="14321" max="14321" width="33.28515625" style="37" customWidth="1"/>
    <col min="14322" max="14322" width="4.7109375" style="37" customWidth="1"/>
    <col min="14323" max="14551" width="9.140625" style="37"/>
    <col min="14552" max="14552" width="3.42578125" style="37" customWidth="1"/>
    <col min="14553" max="14553" width="16.5703125" style="37" customWidth="1"/>
    <col min="14554" max="14554" width="4.7109375" style="37" customWidth="1"/>
    <col min="14555" max="14555" width="4.5703125" style="37" customWidth="1"/>
    <col min="14556" max="14556" width="16.85546875" style="37" customWidth="1"/>
    <col min="14557" max="14557" width="4.7109375" style="37" customWidth="1"/>
    <col min="14558" max="14558" width="5.28515625" style="37" customWidth="1"/>
    <col min="14559" max="14559" width="16.7109375" style="37" customWidth="1"/>
    <col min="14560" max="14560" width="4.7109375" style="37" customWidth="1"/>
    <col min="14561" max="14561" width="5.42578125" style="37" customWidth="1"/>
    <col min="14562" max="14562" width="16.7109375" style="37" customWidth="1"/>
    <col min="14563" max="14564" width="4.7109375" style="37" customWidth="1"/>
    <col min="14565" max="14565" width="16.7109375" style="37" customWidth="1"/>
    <col min="14566" max="14566" width="4.7109375" style="37" customWidth="1"/>
    <col min="14567" max="14567" width="2.85546875" style="37" customWidth="1"/>
    <col min="14568" max="14568" width="4.28515625" style="37" customWidth="1"/>
    <col min="14569" max="14569" width="17.140625" style="37" customWidth="1"/>
    <col min="14570" max="14570" width="4.7109375" style="37" customWidth="1"/>
    <col min="14571" max="14571" width="3" style="37" customWidth="1"/>
    <col min="14572" max="14572" width="2.42578125" style="37" customWidth="1"/>
    <col min="14573" max="14573" width="2.28515625" style="37" customWidth="1"/>
    <col min="14574" max="14574" width="20.7109375" style="37" customWidth="1"/>
    <col min="14575" max="14575" width="4.7109375" style="37" customWidth="1"/>
    <col min="14576" max="14576" width="2.85546875" style="37" customWidth="1"/>
    <col min="14577" max="14577" width="33.28515625" style="37" customWidth="1"/>
    <col min="14578" max="14578" width="4.7109375" style="37" customWidth="1"/>
    <col min="14579" max="14807" width="9.140625" style="37"/>
    <col min="14808" max="14808" width="3.42578125" style="37" customWidth="1"/>
    <col min="14809" max="14809" width="16.5703125" style="37" customWidth="1"/>
    <col min="14810" max="14810" width="4.7109375" style="37" customWidth="1"/>
    <col min="14811" max="14811" width="4.5703125" style="37" customWidth="1"/>
    <col min="14812" max="14812" width="16.85546875" style="37" customWidth="1"/>
    <col min="14813" max="14813" width="4.7109375" style="37" customWidth="1"/>
    <col min="14814" max="14814" width="5.28515625" style="37" customWidth="1"/>
    <col min="14815" max="14815" width="16.7109375" style="37" customWidth="1"/>
    <col min="14816" max="14816" width="4.7109375" style="37" customWidth="1"/>
    <col min="14817" max="14817" width="5.42578125" style="37" customWidth="1"/>
    <col min="14818" max="14818" width="16.7109375" style="37" customWidth="1"/>
    <col min="14819" max="14820" width="4.7109375" style="37" customWidth="1"/>
    <col min="14821" max="14821" width="16.7109375" style="37" customWidth="1"/>
    <col min="14822" max="14822" width="4.7109375" style="37" customWidth="1"/>
    <col min="14823" max="14823" width="2.85546875" style="37" customWidth="1"/>
    <col min="14824" max="14824" width="4.28515625" style="37" customWidth="1"/>
    <col min="14825" max="14825" width="17.140625" style="37" customWidth="1"/>
    <col min="14826" max="14826" width="4.7109375" style="37" customWidth="1"/>
    <col min="14827" max="14827" width="3" style="37" customWidth="1"/>
    <col min="14828" max="14828" width="2.42578125" style="37" customWidth="1"/>
    <col min="14829" max="14829" width="2.28515625" style="37" customWidth="1"/>
    <col min="14830" max="14830" width="20.7109375" style="37" customWidth="1"/>
    <col min="14831" max="14831" width="4.7109375" style="37" customWidth="1"/>
    <col min="14832" max="14832" width="2.85546875" style="37" customWidth="1"/>
    <col min="14833" max="14833" width="33.28515625" style="37" customWidth="1"/>
    <col min="14834" max="14834" width="4.7109375" style="37" customWidth="1"/>
    <col min="14835" max="15063" width="9.140625" style="37"/>
    <col min="15064" max="15064" width="3.42578125" style="37" customWidth="1"/>
    <col min="15065" max="15065" width="16.5703125" style="37" customWidth="1"/>
    <col min="15066" max="15066" width="4.7109375" style="37" customWidth="1"/>
    <col min="15067" max="15067" width="4.5703125" style="37" customWidth="1"/>
    <col min="15068" max="15068" width="16.85546875" style="37" customWidth="1"/>
    <col min="15069" max="15069" width="4.7109375" style="37" customWidth="1"/>
    <col min="15070" max="15070" width="5.28515625" style="37" customWidth="1"/>
    <col min="15071" max="15071" width="16.7109375" style="37" customWidth="1"/>
    <col min="15072" max="15072" width="4.7109375" style="37" customWidth="1"/>
    <col min="15073" max="15073" width="5.42578125" style="37" customWidth="1"/>
    <col min="15074" max="15074" width="16.7109375" style="37" customWidth="1"/>
    <col min="15075" max="15076" width="4.7109375" style="37" customWidth="1"/>
    <col min="15077" max="15077" width="16.7109375" style="37" customWidth="1"/>
    <col min="15078" max="15078" width="4.7109375" style="37" customWidth="1"/>
    <col min="15079" max="15079" width="2.85546875" style="37" customWidth="1"/>
    <col min="15080" max="15080" width="4.28515625" style="37" customWidth="1"/>
    <col min="15081" max="15081" width="17.140625" style="37" customWidth="1"/>
    <col min="15082" max="15082" width="4.7109375" style="37" customWidth="1"/>
    <col min="15083" max="15083" width="3" style="37" customWidth="1"/>
    <col min="15084" max="15084" width="2.42578125" style="37" customWidth="1"/>
    <col min="15085" max="15085" width="2.28515625" style="37" customWidth="1"/>
    <col min="15086" max="15086" width="20.7109375" style="37" customWidth="1"/>
    <col min="15087" max="15087" width="4.7109375" style="37" customWidth="1"/>
    <col min="15088" max="15088" width="2.85546875" style="37" customWidth="1"/>
    <col min="15089" max="15089" width="33.28515625" style="37" customWidth="1"/>
    <col min="15090" max="15090" width="4.7109375" style="37" customWidth="1"/>
    <col min="15091" max="15319" width="9.140625" style="37"/>
    <col min="15320" max="15320" width="3.42578125" style="37" customWidth="1"/>
    <col min="15321" max="15321" width="16.5703125" style="37" customWidth="1"/>
    <col min="15322" max="15322" width="4.7109375" style="37" customWidth="1"/>
    <col min="15323" max="15323" width="4.5703125" style="37" customWidth="1"/>
    <col min="15324" max="15324" width="16.85546875" style="37" customWidth="1"/>
    <col min="15325" max="15325" width="4.7109375" style="37" customWidth="1"/>
    <col min="15326" max="15326" width="5.28515625" style="37" customWidth="1"/>
    <col min="15327" max="15327" width="16.7109375" style="37" customWidth="1"/>
    <col min="15328" max="15328" width="4.7109375" style="37" customWidth="1"/>
    <col min="15329" max="15329" width="5.42578125" style="37" customWidth="1"/>
    <col min="15330" max="15330" width="16.7109375" style="37" customWidth="1"/>
    <col min="15331" max="15332" width="4.7109375" style="37" customWidth="1"/>
    <col min="15333" max="15333" width="16.7109375" style="37" customWidth="1"/>
    <col min="15334" max="15334" width="4.7109375" style="37" customWidth="1"/>
    <col min="15335" max="15335" width="2.85546875" style="37" customWidth="1"/>
    <col min="15336" max="15336" width="4.28515625" style="37" customWidth="1"/>
    <col min="15337" max="15337" width="17.140625" style="37" customWidth="1"/>
    <col min="15338" max="15338" width="4.7109375" style="37" customWidth="1"/>
    <col min="15339" max="15339" width="3" style="37" customWidth="1"/>
    <col min="15340" max="15340" width="2.42578125" style="37" customWidth="1"/>
    <col min="15341" max="15341" width="2.28515625" style="37" customWidth="1"/>
    <col min="15342" max="15342" width="20.7109375" style="37" customWidth="1"/>
    <col min="15343" max="15343" width="4.7109375" style="37" customWidth="1"/>
    <col min="15344" max="15344" width="2.85546875" style="37" customWidth="1"/>
    <col min="15345" max="15345" width="33.28515625" style="37" customWidth="1"/>
    <col min="15346" max="15346" width="4.7109375" style="37" customWidth="1"/>
    <col min="15347" max="15575" width="9.140625" style="37"/>
    <col min="15576" max="15576" width="3.42578125" style="37" customWidth="1"/>
    <col min="15577" max="15577" width="16.5703125" style="37" customWidth="1"/>
    <col min="15578" max="15578" width="4.7109375" style="37" customWidth="1"/>
    <col min="15579" max="15579" width="4.5703125" style="37" customWidth="1"/>
    <col min="15580" max="15580" width="16.85546875" style="37" customWidth="1"/>
    <col min="15581" max="15581" width="4.7109375" style="37" customWidth="1"/>
    <col min="15582" max="15582" width="5.28515625" style="37" customWidth="1"/>
    <col min="15583" max="15583" width="16.7109375" style="37" customWidth="1"/>
    <col min="15584" max="15584" width="4.7109375" style="37" customWidth="1"/>
    <col min="15585" max="15585" width="5.42578125" style="37" customWidth="1"/>
    <col min="15586" max="15586" width="16.7109375" style="37" customWidth="1"/>
    <col min="15587" max="15588" width="4.7109375" style="37" customWidth="1"/>
    <col min="15589" max="15589" width="16.7109375" style="37" customWidth="1"/>
    <col min="15590" max="15590" width="4.7109375" style="37" customWidth="1"/>
    <col min="15591" max="15591" width="2.85546875" style="37" customWidth="1"/>
    <col min="15592" max="15592" width="4.28515625" style="37" customWidth="1"/>
    <col min="15593" max="15593" width="17.140625" style="37" customWidth="1"/>
    <col min="15594" max="15594" width="4.7109375" style="37" customWidth="1"/>
    <col min="15595" max="15595" width="3" style="37" customWidth="1"/>
    <col min="15596" max="15596" width="2.42578125" style="37" customWidth="1"/>
    <col min="15597" max="15597" width="2.28515625" style="37" customWidth="1"/>
    <col min="15598" max="15598" width="20.7109375" style="37" customWidth="1"/>
    <col min="15599" max="15599" width="4.7109375" style="37" customWidth="1"/>
    <col min="15600" max="15600" width="2.85546875" style="37" customWidth="1"/>
    <col min="15601" max="15601" width="33.28515625" style="37" customWidth="1"/>
    <col min="15602" max="15602" width="4.7109375" style="37" customWidth="1"/>
    <col min="15603" max="15831" width="9.140625" style="37"/>
    <col min="15832" max="15832" width="3.42578125" style="37" customWidth="1"/>
    <col min="15833" max="15833" width="16.5703125" style="37" customWidth="1"/>
    <col min="15834" max="15834" width="4.7109375" style="37" customWidth="1"/>
    <col min="15835" max="15835" width="4.5703125" style="37" customWidth="1"/>
    <col min="15836" max="15836" width="16.85546875" style="37" customWidth="1"/>
    <col min="15837" max="15837" width="4.7109375" style="37" customWidth="1"/>
    <col min="15838" max="15838" width="5.28515625" style="37" customWidth="1"/>
    <col min="15839" max="15839" width="16.7109375" style="37" customWidth="1"/>
    <col min="15840" max="15840" width="4.7109375" style="37" customWidth="1"/>
    <col min="15841" max="15841" width="5.42578125" style="37" customWidth="1"/>
    <col min="15842" max="15842" width="16.7109375" style="37" customWidth="1"/>
    <col min="15843" max="15844" width="4.7109375" style="37" customWidth="1"/>
    <col min="15845" max="15845" width="16.7109375" style="37" customWidth="1"/>
    <col min="15846" max="15846" width="4.7109375" style="37" customWidth="1"/>
    <col min="15847" max="15847" width="2.85546875" style="37" customWidth="1"/>
    <col min="15848" max="15848" width="4.28515625" style="37" customWidth="1"/>
    <col min="15849" max="15849" width="17.140625" style="37" customWidth="1"/>
    <col min="15850" max="15850" width="4.7109375" style="37" customWidth="1"/>
    <col min="15851" max="15851" width="3" style="37" customWidth="1"/>
    <col min="15852" max="15852" width="2.42578125" style="37" customWidth="1"/>
    <col min="15853" max="15853" width="2.28515625" style="37" customWidth="1"/>
    <col min="15854" max="15854" width="20.7109375" style="37" customWidth="1"/>
    <col min="15855" max="15855" width="4.7109375" style="37" customWidth="1"/>
    <col min="15856" max="15856" width="2.85546875" style="37" customWidth="1"/>
    <col min="15857" max="15857" width="33.28515625" style="37" customWidth="1"/>
    <col min="15858" max="15858" width="4.7109375" style="37" customWidth="1"/>
    <col min="15859" max="16087" width="9.140625" style="37"/>
    <col min="16088" max="16088" width="3.42578125" style="37" customWidth="1"/>
    <col min="16089" max="16089" width="16.5703125" style="37" customWidth="1"/>
    <col min="16090" max="16090" width="4.7109375" style="37" customWidth="1"/>
    <col min="16091" max="16091" width="4.5703125" style="37" customWidth="1"/>
    <col min="16092" max="16092" width="16.85546875" style="37" customWidth="1"/>
    <col min="16093" max="16093" width="4.7109375" style="37" customWidth="1"/>
    <col min="16094" max="16094" width="5.28515625" style="37" customWidth="1"/>
    <col min="16095" max="16095" width="16.7109375" style="37" customWidth="1"/>
    <col min="16096" max="16096" width="4.7109375" style="37" customWidth="1"/>
    <col min="16097" max="16097" width="5.42578125" style="37" customWidth="1"/>
    <col min="16098" max="16098" width="16.7109375" style="37" customWidth="1"/>
    <col min="16099" max="16100" width="4.7109375" style="37" customWidth="1"/>
    <col min="16101" max="16101" width="16.7109375" style="37" customWidth="1"/>
    <col min="16102" max="16102" width="4.7109375" style="37" customWidth="1"/>
    <col min="16103" max="16103" width="2.85546875" style="37" customWidth="1"/>
    <col min="16104" max="16104" width="4.28515625" style="37" customWidth="1"/>
    <col min="16105" max="16105" width="17.140625" style="37" customWidth="1"/>
    <col min="16106" max="16106" width="4.7109375" style="37" customWidth="1"/>
    <col min="16107" max="16107" width="3" style="37" customWidth="1"/>
    <col min="16108" max="16108" width="2.42578125" style="37" customWidth="1"/>
    <col min="16109" max="16109" width="2.28515625" style="37" customWidth="1"/>
    <col min="16110" max="16110" width="20.7109375" style="37" customWidth="1"/>
    <col min="16111" max="16111" width="4.7109375" style="37" customWidth="1"/>
    <col min="16112" max="16112" width="2.85546875" style="37" customWidth="1"/>
    <col min="16113" max="16113" width="33.28515625" style="37" customWidth="1"/>
    <col min="16114" max="16114" width="4.7109375" style="37" customWidth="1"/>
    <col min="16115" max="16384" width="9.140625" style="37"/>
  </cols>
  <sheetData>
    <row r="1" spans="2:27" ht="15" x14ac:dyDescent="0.2">
      <c r="B1" s="390" t="s">
        <v>191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3"/>
      <c r="X1" s="34"/>
      <c r="Y1" s="35"/>
      <c r="Z1" s="36"/>
      <c r="AA1" s="35"/>
    </row>
    <row r="2" spans="2:27" s="40" customFormat="1" ht="15" x14ac:dyDescent="0.3">
      <c r="B2" s="390" t="s">
        <v>279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8"/>
      <c r="Y2" s="39"/>
      <c r="Z2" s="39"/>
      <c r="AA2" s="39"/>
    </row>
    <row r="3" spans="2:27" ht="13.5" thickBot="1" x14ac:dyDescent="0.25">
      <c r="B3" s="41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42"/>
      <c r="S3" s="35"/>
      <c r="T3" s="35"/>
      <c r="U3" s="35"/>
      <c r="V3" s="35"/>
      <c r="W3" s="42"/>
      <c r="X3" s="34"/>
      <c r="Y3" s="35"/>
      <c r="Z3" s="35"/>
      <c r="AA3" s="35"/>
    </row>
    <row r="4" spans="2:27" ht="14.25" thickTop="1" thickBot="1" x14ac:dyDescent="0.25">
      <c r="B4" s="43" t="s">
        <v>6</v>
      </c>
      <c r="C4" s="44"/>
      <c r="D4" s="44"/>
      <c r="E4" s="43" t="s">
        <v>24</v>
      </c>
      <c r="F4" s="44"/>
      <c r="G4" s="44"/>
      <c r="H4" s="43" t="s">
        <v>41</v>
      </c>
      <c r="I4" s="44"/>
      <c r="J4" s="44"/>
      <c r="K4" s="43" t="s">
        <v>59</v>
      </c>
      <c r="L4" s="44"/>
      <c r="M4" s="44"/>
      <c r="N4" s="43" t="s">
        <v>74</v>
      </c>
      <c r="O4" s="44"/>
      <c r="P4" s="44"/>
      <c r="Q4" s="44"/>
      <c r="R4" s="45" t="s">
        <v>90</v>
      </c>
      <c r="S4" s="44"/>
      <c r="T4" s="44"/>
      <c r="U4" s="44"/>
      <c r="V4" s="44"/>
      <c r="W4" s="45" t="s">
        <v>120</v>
      </c>
      <c r="X4" s="46"/>
      <c r="Y4" s="44"/>
      <c r="Z4" s="391" t="s">
        <v>193</v>
      </c>
      <c r="AA4" s="392"/>
    </row>
    <row r="5" spans="2:27" ht="13.5" thickTop="1" x14ac:dyDescent="0.2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9"/>
      <c r="S5" s="48"/>
      <c r="T5" s="48"/>
      <c r="U5" s="48"/>
      <c r="V5" s="48"/>
      <c r="W5" s="49"/>
      <c r="X5" s="50"/>
      <c r="Y5" s="48"/>
      <c r="Z5" s="48"/>
      <c r="AA5" s="48"/>
    </row>
    <row r="6" spans="2:27" s="55" customFormat="1" x14ac:dyDescent="0.25">
      <c r="D6" s="53"/>
      <c r="G6" s="143"/>
      <c r="H6" s="143"/>
      <c r="I6" s="143"/>
      <c r="J6" s="143"/>
      <c r="K6" s="143"/>
      <c r="L6" s="143"/>
      <c r="M6" s="143"/>
      <c r="R6" s="56" t="s">
        <v>92</v>
      </c>
      <c r="S6" s="57">
        <v>3</v>
      </c>
      <c r="T6" s="143"/>
      <c r="U6" s="143"/>
      <c r="V6" s="143"/>
      <c r="W6" s="51" t="s">
        <v>195</v>
      </c>
      <c r="X6" s="57">
        <v>3</v>
      </c>
      <c r="Y6" s="143"/>
      <c r="Z6" s="143"/>
      <c r="AA6" s="143"/>
    </row>
    <row r="7" spans="2:27" s="55" customFormat="1" x14ac:dyDescent="0.25">
      <c r="B7" s="143"/>
      <c r="C7" s="143"/>
      <c r="D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46"/>
      <c r="R7" s="58"/>
      <c r="S7" s="143"/>
      <c r="T7" s="143"/>
      <c r="U7" s="143"/>
      <c r="V7" s="143"/>
      <c r="W7" s="59"/>
      <c r="Y7" s="143"/>
      <c r="Z7" s="143"/>
      <c r="AA7" s="143"/>
    </row>
    <row r="8" spans="2:27" s="55" customFormat="1" x14ac:dyDescent="0.25">
      <c r="B8" s="51" t="s">
        <v>194</v>
      </c>
      <c r="C8" s="52">
        <v>3</v>
      </c>
      <c r="E8" s="57" t="s">
        <v>26</v>
      </c>
      <c r="F8" s="57">
        <v>2</v>
      </c>
      <c r="G8" s="143"/>
      <c r="H8" s="57" t="s">
        <v>43</v>
      </c>
      <c r="I8" s="57">
        <v>3</v>
      </c>
      <c r="J8" s="143"/>
      <c r="K8" s="52" t="s">
        <v>196</v>
      </c>
      <c r="L8" s="52">
        <v>3</v>
      </c>
      <c r="M8" s="143"/>
      <c r="N8" s="57" t="s">
        <v>184</v>
      </c>
      <c r="O8" s="57">
        <v>2</v>
      </c>
      <c r="P8" s="143"/>
      <c r="Q8" s="143"/>
      <c r="R8" s="60" t="s">
        <v>197</v>
      </c>
      <c r="S8" s="61">
        <v>3</v>
      </c>
      <c r="T8" s="143"/>
      <c r="U8" s="143"/>
      <c r="V8" s="143"/>
      <c r="W8" s="60" t="s">
        <v>132</v>
      </c>
      <c r="X8" s="61">
        <v>3</v>
      </c>
      <c r="Y8" s="143"/>
      <c r="Z8" s="143"/>
      <c r="AA8" s="143"/>
    </row>
    <row r="9" spans="2:27" s="55" customFormat="1" x14ac:dyDescent="0.25">
      <c r="B9" s="58"/>
      <c r="C9" s="163"/>
      <c r="E9" s="143"/>
      <c r="G9" s="143"/>
      <c r="H9" s="143"/>
      <c r="I9" s="143"/>
      <c r="J9" s="143"/>
      <c r="M9" s="143"/>
      <c r="N9" s="143"/>
      <c r="O9" s="143"/>
      <c r="P9" s="143"/>
      <c r="Q9" s="143"/>
      <c r="R9" s="62"/>
      <c r="S9" s="63"/>
      <c r="T9" s="143"/>
      <c r="U9" s="143"/>
      <c r="V9" s="143"/>
      <c r="W9" s="64"/>
      <c r="X9" s="65"/>
      <c r="Y9" s="143"/>
      <c r="Z9" s="143"/>
      <c r="AA9" s="143"/>
    </row>
    <row r="10" spans="2:27" s="55" customFormat="1" x14ac:dyDescent="0.25">
      <c r="D10" s="143"/>
      <c r="E10" s="143"/>
      <c r="P10" s="63"/>
      <c r="Q10" s="143"/>
      <c r="T10" s="143"/>
      <c r="U10" s="143"/>
      <c r="V10" s="143"/>
      <c r="W10" s="66" t="s">
        <v>185</v>
      </c>
      <c r="X10" s="61">
        <v>3</v>
      </c>
      <c r="Y10" s="143"/>
      <c r="Z10" s="143"/>
      <c r="AA10" s="143"/>
    </row>
    <row r="11" spans="2:27" s="55" customFormat="1" x14ac:dyDescent="0.25">
      <c r="E11" s="56" t="s">
        <v>128</v>
      </c>
      <c r="F11" s="52">
        <v>3</v>
      </c>
      <c r="R11" s="59"/>
      <c r="W11" s="59"/>
    </row>
    <row r="12" spans="2:27" s="55" customFormat="1" x14ac:dyDescent="0.25"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M12" s="143"/>
      <c r="N12" s="143"/>
      <c r="O12" s="143"/>
      <c r="P12" s="143"/>
      <c r="Q12" s="143"/>
      <c r="R12" s="58"/>
      <c r="S12" s="143"/>
      <c r="T12" s="143"/>
      <c r="U12" s="143"/>
      <c r="V12" s="143"/>
      <c r="W12" s="51" t="s">
        <v>199</v>
      </c>
      <c r="X12" s="52">
        <v>3</v>
      </c>
      <c r="Y12" s="143"/>
      <c r="Z12" s="143"/>
      <c r="AA12" s="143"/>
    </row>
    <row r="13" spans="2:27" s="55" customFormat="1" x14ac:dyDescent="0.25">
      <c r="B13" s="143"/>
      <c r="C13" s="143"/>
      <c r="D13" s="143"/>
      <c r="E13" s="143"/>
      <c r="F13" s="143"/>
      <c r="G13" s="143"/>
      <c r="H13" s="143"/>
      <c r="I13" s="143"/>
      <c r="K13" s="143"/>
      <c r="L13" s="143"/>
      <c r="M13" s="143"/>
      <c r="R13" s="59"/>
      <c r="T13" s="67"/>
      <c r="W13" s="59"/>
      <c r="Y13" s="143"/>
      <c r="Z13" s="143"/>
      <c r="AA13" s="143"/>
    </row>
    <row r="14" spans="2:27" s="55" customFormat="1" x14ac:dyDescent="0.25">
      <c r="B14" s="140" t="s">
        <v>200</v>
      </c>
      <c r="C14" s="394">
        <v>3</v>
      </c>
      <c r="D14" s="143"/>
      <c r="E14" s="51" t="s">
        <v>201</v>
      </c>
      <c r="F14" s="52">
        <v>3</v>
      </c>
      <c r="G14" s="143"/>
      <c r="H14" s="56" t="s">
        <v>202</v>
      </c>
      <c r="I14" s="57">
        <v>3</v>
      </c>
      <c r="J14" s="143"/>
      <c r="K14" s="51" t="s">
        <v>203</v>
      </c>
      <c r="L14" s="52">
        <v>3</v>
      </c>
      <c r="M14" s="143"/>
      <c r="N14" s="56" t="s">
        <v>204</v>
      </c>
      <c r="O14" s="57">
        <v>3</v>
      </c>
      <c r="P14" s="143"/>
      <c r="Q14" s="143"/>
      <c r="R14" s="51" t="s">
        <v>205</v>
      </c>
      <c r="S14" s="52">
        <v>3</v>
      </c>
      <c r="T14" s="143"/>
      <c r="U14" s="143"/>
      <c r="V14" s="143"/>
      <c r="W14" s="51" t="s">
        <v>206</v>
      </c>
      <c r="X14" s="52">
        <v>3</v>
      </c>
      <c r="Y14" s="143"/>
      <c r="Z14" s="143"/>
      <c r="AA14" s="143"/>
    </row>
    <row r="15" spans="2:27" s="55" customFormat="1" x14ac:dyDescent="0.25">
      <c r="B15" s="141" t="s">
        <v>207</v>
      </c>
      <c r="C15" s="395"/>
      <c r="D15" s="143"/>
      <c r="E15" s="56" t="s">
        <v>30</v>
      </c>
      <c r="F15" s="57">
        <v>2</v>
      </c>
      <c r="G15" s="143"/>
      <c r="H15" s="143"/>
      <c r="I15" s="143"/>
      <c r="J15" s="143"/>
      <c r="K15" s="56" t="s">
        <v>208</v>
      </c>
      <c r="L15" s="57">
        <v>2</v>
      </c>
      <c r="M15" s="143"/>
      <c r="N15" s="67"/>
      <c r="O15" s="67"/>
      <c r="P15" s="143"/>
      <c r="Q15" s="143"/>
      <c r="R15" s="62"/>
      <c r="S15" s="63"/>
      <c r="T15" s="143"/>
      <c r="U15" s="143"/>
      <c r="V15" s="143"/>
      <c r="W15" s="64"/>
      <c r="X15" s="65"/>
      <c r="Y15" s="143"/>
      <c r="Z15" s="143"/>
      <c r="AA15" s="143"/>
    </row>
    <row r="16" spans="2:27" s="55" customFormat="1" x14ac:dyDescent="0.25">
      <c r="B16" s="143"/>
      <c r="C16" s="143"/>
      <c r="D16" s="143"/>
      <c r="G16" s="143"/>
      <c r="H16" s="143"/>
      <c r="I16" s="143"/>
      <c r="J16" s="143"/>
      <c r="M16" s="143"/>
      <c r="N16" s="67"/>
      <c r="O16" s="67"/>
      <c r="P16" s="143"/>
      <c r="Q16" s="143"/>
      <c r="R16" s="137"/>
      <c r="S16" s="46"/>
      <c r="T16" s="143"/>
      <c r="U16" s="143"/>
      <c r="V16" s="143"/>
      <c r="W16" s="155" t="s">
        <v>278</v>
      </c>
      <c r="X16" s="71">
        <v>3</v>
      </c>
      <c r="Y16" s="143"/>
      <c r="Z16" s="143"/>
      <c r="AA16" s="143"/>
    </row>
    <row r="17" spans="2:27" s="55" customFormat="1" x14ac:dyDescent="0.25">
      <c r="B17" s="77" t="s">
        <v>276</v>
      </c>
      <c r="C17" s="140">
        <v>2</v>
      </c>
      <c r="E17" s="137"/>
      <c r="F17" s="46"/>
      <c r="H17" s="143"/>
      <c r="I17" s="143"/>
      <c r="Q17" s="143"/>
      <c r="R17" s="73"/>
      <c r="S17" s="67"/>
      <c r="T17" s="67"/>
      <c r="U17" s="143"/>
      <c r="V17" s="143"/>
      <c r="W17" s="62"/>
      <c r="X17" s="63"/>
      <c r="Y17" s="143"/>
      <c r="Z17" s="143"/>
      <c r="AA17" s="143"/>
    </row>
    <row r="18" spans="2:27" s="55" customFormat="1" ht="14.25" x14ac:dyDescent="0.25">
      <c r="B18" s="74"/>
      <c r="C18" s="75"/>
      <c r="H18" s="143"/>
      <c r="I18" s="143"/>
      <c r="K18" s="138" t="s">
        <v>211</v>
      </c>
      <c r="L18" s="386">
        <v>3</v>
      </c>
      <c r="M18" s="143"/>
      <c r="N18" s="77" t="s">
        <v>212</v>
      </c>
      <c r="O18" s="388">
        <v>3</v>
      </c>
      <c r="P18" s="143"/>
      <c r="Q18" s="143"/>
      <c r="R18" s="154" t="s">
        <v>213</v>
      </c>
      <c r="S18" s="153">
        <v>3</v>
      </c>
      <c r="T18" s="143"/>
      <c r="U18" s="143"/>
      <c r="V18" s="143"/>
      <c r="W18" s="152" t="s">
        <v>214</v>
      </c>
      <c r="X18" s="153">
        <v>3</v>
      </c>
      <c r="Y18" s="143"/>
      <c r="Z18" s="143"/>
      <c r="AA18" s="143"/>
    </row>
    <row r="19" spans="2:27" s="55" customFormat="1" x14ac:dyDescent="0.25">
      <c r="D19" s="143"/>
      <c r="G19" s="143"/>
      <c r="H19" s="143"/>
      <c r="I19" s="143"/>
      <c r="K19" s="139" t="s">
        <v>215</v>
      </c>
      <c r="L19" s="387"/>
      <c r="M19" s="143"/>
      <c r="N19" s="81" t="s">
        <v>216</v>
      </c>
      <c r="O19" s="389"/>
      <c r="P19" s="143"/>
      <c r="Q19" s="143"/>
      <c r="R19" s="62"/>
      <c r="S19" s="63"/>
      <c r="T19" s="63"/>
      <c r="U19" s="143"/>
      <c r="V19" s="143"/>
      <c r="W19" s="64"/>
      <c r="X19" s="65"/>
      <c r="Y19" s="143"/>
      <c r="Z19" s="143"/>
      <c r="AA19" s="143"/>
    </row>
    <row r="20" spans="2:27" s="55" customFormat="1" x14ac:dyDescent="0.25">
      <c r="R20" s="51" t="s">
        <v>217</v>
      </c>
      <c r="S20" s="52">
        <v>3</v>
      </c>
      <c r="W20" s="152" t="s">
        <v>218</v>
      </c>
      <c r="X20" s="153">
        <v>3</v>
      </c>
    </row>
    <row r="21" spans="2:27" s="55" customFormat="1" x14ac:dyDescent="0.25">
      <c r="E21" s="82" t="s">
        <v>219</v>
      </c>
      <c r="F21" s="388">
        <v>2</v>
      </c>
      <c r="R21" s="59"/>
      <c r="W21" s="59"/>
    </row>
    <row r="22" spans="2:27" s="55" customFormat="1" x14ac:dyDescent="0.25">
      <c r="B22" s="143"/>
      <c r="C22" s="143"/>
      <c r="D22" s="143"/>
      <c r="E22" s="83" t="s">
        <v>220</v>
      </c>
      <c r="F22" s="389"/>
      <c r="G22" s="143"/>
      <c r="H22" s="143"/>
      <c r="I22" s="143"/>
      <c r="J22" s="143"/>
      <c r="K22" s="143"/>
      <c r="L22" s="143"/>
      <c r="M22" s="143"/>
      <c r="O22" s="67"/>
      <c r="R22" s="59"/>
      <c r="T22" s="67"/>
      <c r="W22" s="149" t="s">
        <v>221</v>
      </c>
      <c r="X22" s="150">
        <v>3</v>
      </c>
      <c r="Y22" s="143"/>
      <c r="Z22" s="143"/>
      <c r="AA22" s="143"/>
    </row>
    <row r="23" spans="2:27" s="55" customFormat="1" x14ac:dyDescent="0.25">
      <c r="R23" s="59"/>
      <c r="W23" s="59"/>
    </row>
    <row r="24" spans="2:27" s="55" customFormat="1" ht="15" x14ac:dyDescent="0.25">
      <c r="K24" s="143"/>
      <c r="L24" s="143"/>
      <c r="M24" s="143"/>
      <c r="N24" s="143"/>
      <c r="O24" s="143"/>
      <c r="R24" s="151" t="s">
        <v>222</v>
      </c>
      <c r="S24" s="150">
        <v>3</v>
      </c>
      <c r="T24" s="63"/>
      <c r="W24" s="149" t="s">
        <v>223</v>
      </c>
      <c r="X24" s="150">
        <v>3</v>
      </c>
    </row>
    <row r="25" spans="2:27" s="55" customFormat="1" x14ac:dyDescent="0.25">
      <c r="H25" s="87" t="s">
        <v>224</v>
      </c>
      <c r="I25" s="394">
        <v>2</v>
      </c>
      <c r="J25" s="143"/>
      <c r="K25" s="140" t="s">
        <v>225</v>
      </c>
      <c r="L25" s="140">
        <v>2</v>
      </c>
      <c r="N25" s="72" t="s">
        <v>89</v>
      </c>
      <c r="O25" s="140">
        <v>3</v>
      </c>
      <c r="P25" s="63"/>
      <c r="R25" s="62"/>
      <c r="S25" s="63"/>
      <c r="T25" s="63"/>
      <c r="W25" s="88"/>
      <c r="X25" s="89"/>
    </row>
    <row r="26" spans="2:27" s="55" customFormat="1" x14ac:dyDescent="0.25">
      <c r="H26" s="90" t="s">
        <v>226</v>
      </c>
      <c r="I26" s="395"/>
      <c r="K26" s="91"/>
      <c r="L26" s="91"/>
      <c r="N26" s="92"/>
      <c r="O26" s="91"/>
      <c r="R26" s="93" t="s">
        <v>227</v>
      </c>
      <c r="S26" s="94">
        <v>3</v>
      </c>
      <c r="V26" s="143"/>
      <c r="W26" s="95" t="s">
        <v>268</v>
      </c>
      <c r="X26" s="398">
        <v>3</v>
      </c>
    </row>
    <row r="27" spans="2:27" s="55" customFormat="1" x14ac:dyDescent="0.25">
      <c r="R27" s="59"/>
      <c r="W27" s="96" t="s">
        <v>269</v>
      </c>
      <c r="X27" s="399"/>
    </row>
    <row r="28" spans="2:27" s="55" customFormat="1" ht="15" x14ac:dyDescent="0.25">
      <c r="B28" s="160" t="s">
        <v>275</v>
      </c>
      <c r="C28" s="52">
        <v>3</v>
      </c>
      <c r="K28" s="143"/>
      <c r="L28" s="143"/>
      <c r="M28" s="143"/>
      <c r="N28" s="143"/>
      <c r="O28" s="143"/>
      <c r="R28" s="59"/>
      <c r="T28" s="63"/>
      <c r="W28" s="59"/>
    </row>
    <row r="29" spans="2:27" s="55" customFormat="1" x14ac:dyDescent="0.25">
      <c r="R29" s="56" t="s">
        <v>271</v>
      </c>
      <c r="S29" s="52">
        <v>2</v>
      </c>
      <c r="W29" s="93" t="s">
        <v>230</v>
      </c>
      <c r="X29" s="94">
        <v>3</v>
      </c>
      <c r="Z29" s="143"/>
      <c r="AA29" s="143"/>
    </row>
    <row r="30" spans="2:27" s="55" customFormat="1" x14ac:dyDescent="0.25">
      <c r="R30" s="59"/>
      <c r="W30" s="59"/>
      <c r="Z30" s="143"/>
      <c r="AA30" s="143"/>
    </row>
    <row r="31" spans="2:27" s="55" customFormat="1" x14ac:dyDescent="0.25"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Q31" s="143"/>
      <c r="R31" s="97" t="s">
        <v>231</v>
      </c>
      <c r="S31" s="400">
        <v>3</v>
      </c>
      <c r="T31" s="98"/>
      <c r="U31" s="143"/>
      <c r="V31" s="143"/>
      <c r="W31" s="99" t="s">
        <v>267</v>
      </c>
      <c r="X31" s="100">
        <v>3</v>
      </c>
      <c r="Y31" s="143"/>
      <c r="AA31" s="143"/>
    </row>
    <row r="32" spans="2:27" s="55" customFormat="1" x14ac:dyDescent="0.25">
      <c r="B32" s="72" t="s">
        <v>200</v>
      </c>
      <c r="C32" s="394">
        <v>3</v>
      </c>
      <c r="D32" s="143"/>
      <c r="E32" s="140" t="s">
        <v>233</v>
      </c>
      <c r="F32" s="394">
        <v>2</v>
      </c>
      <c r="G32" s="143"/>
      <c r="H32" s="143"/>
      <c r="I32" s="143"/>
      <c r="J32" s="143"/>
      <c r="K32" s="57" t="s">
        <v>70</v>
      </c>
      <c r="L32" s="57">
        <v>3</v>
      </c>
      <c r="M32" s="143"/>
      <c r="N32" s="52" t="s">
        <v>234</v>
      </c>
      <c r="O32" s="52">
        <v>3</v>
      </c>
      <c r="R32" s="101" t="s">
        <v>235</v>
      </c>
      <c r="S32" s="401"/>
      <c r="T32" s="98"/>
      <c r="U32" s="98"/>
      <c r="W32" s="59"/>
      <c r="Y32" s="143"/>
      <c r="AA32" s="143"/>
    </row>
    <row r="33" spans="1:27" s="55" customFormat="1" x14ac:dyDescent="0.25">
      <c r="B33" s="102" t="s">
        <v>236</v>
      </c>
      <c r="C33" s="395"/>
      <c r="D33" s="143"/>
      <c r="E33" s="141" t="s">
        <v>237</v>
      </c>
      <c r="F33" s="395"/>
      <c r="G33" s="143"/>
      <c r="H33" s="143"/>
      <c r="I33" s="143"/>
      <c r="J33" s="143"/>
      <c r="M33" s="143"/>
      <c r="N33" s="57" t="s">
        <v>86</v>
      </c>
      <c r="O33" s="57">
        <v>2</v>
      </c>
      <c r="R33" s="59"/>
      <c r="T33" s="98"/>
      <c r="U33" s="98"/>
      <c r="V33" s="143"/>
      <c r="W33" s="99" t="s">
        <v>238</v>
      </c>
      <c r="X33" s="100">
        <v>3</v>
      </c>
      <c r="AA33" s="143"/>
    </row>
    <row r="34" spans="1:27" s="55" customFormat="1" x14ac:dyDescent="0.25">
      <c r="G34" s="143"/>
      <c r="J34" s="143"/>
      <c r="K34" s="143"/>
      <c r="L34" s="143"/>
      <c r="M34" s="143"/>
      <c r="R34" s="51" t="s">
        <v>239</v>
      </c>
      <c r="S34" s="52">
        <v>3</v>
      </c>
      <c r="T34" s="98"/>
      <c r="U34" s="98"/>
      <c r="V34" s="143"/>
      <c r="W34" s="59"/>
      <c r="X34" s="103"/>
      <c r="AA34" s="143"/>
    </row>
    <row r="35" spans="1:27" s="55" customFormat="1" x14ac:dyDescent="0.25">
      <c r="D35" s="143"/>
      <c r="G35" s="143"/>
      <c r="H35" s="143"/>
      <c r="I35" s="143"/>
      <c r="R35" s="59"/>
      <c r="U35" s="143"/>
      <c r="V35" s="143"/>
      <c r="W35" s="104" t="s">
        <v>146</v>
      </c>
      <c r="X35" s="105">
        <v>3</v>
      </c>
    </row>
    <row r="36" spans="1:27" s="55" customFormat="1" x14ac:dyDescent="0.25">
      <c r="B36" s="143"/>
      <c r="C36" s="143"/>
      <c r="D36" s="143"/>
      <c r="E36" s="143"/>
      <c r="F36" s="143"/>
      <c r="G36" s="143"/>
      <c r="H36" s="143"/>
      <c r="I36" s="143"/>
      <c r="Q36" s="143"/>
      <c r="R36" s="59"/>
      <c r="V36" s="143"/>
      <c r="W36" s="62"/>
      <c r="X36" s="63"/>
    </row>
    <row r="37" spans="1:27" s="55" customFormat="1" x14ac:dyDescent="0.25">
      <c r="Q37" s="143"/>
      <c r="R37" s="62"/>
      <c r="S37" s="63"/>
      <c r="T37" s="63"/>
      <c r="U37" s="63"/>
      <c r="V37" s="63"/>
      <c r="W37" s="147" t="s">
        <v>240</v>
      </c>
      <c r="X37" s="148">
        <v>3</v>
      </c>
      <c r="Y37" s="143"/>
    </row>
    <row r="38" spans="1:27" s="55" customFormat="1" x14ac:dyDescent="0.25">
      <c r="E38" s="51" t="s">
        <v>210</v>
      </c>
      <c r="F38" s="57">
        <v>2</v>
      </c>
      <c r="H38" s="51" t="s">
        <v>241</v>
      </c>
      <c r="I38" s="52">
        <v>3</v>
      </c>
      <c r="Q38" s="143"/>
      <c r="R38" s="62"/>
      <c r="S38" s="63"/>
      <c r="T38" s="63"/>
      <c r="U38" s="63"/>
      <c r="V38" s="63"/>
      <c r="W38" s="62"/>
      <c r="X38" s="63"/>
      <c r="Y38" s="143"/>
    </row>
    <row r="39" spans="1:27" s="55" customFormat="1" x14ac:dyDescent="0.25">
      <c r="D39" s="143"/>
      <c r="E39" s="143"/>
      <c r="G39" s="143"/>
      <c r="H39" s="70" t="s">
        <v>242</v>
      </c>
      <c r="I39" s="71">
        <v>2</v>
      </c>
      <c r="K39" s="51" t="s">
        <v>243</v>
      </c>
      <c r="L39" s="52">
        <v>3</v>
      </c>
      <c r="M39" s="143"/>
      <c r="N39" s="71" t="s">
        <v>78</v>
      </c>
      <c r="O39" s="71">
        <v>3</v>
      </c>
      <c r="P39" s="63"/>
      <c r="Q39" s="143"/>
      <c r="R39" s="147" t="s">
        <v>244</v>
      </c>
      <c r="S39" s="148">
        <v>3</v>
      </c>
      <c r="T39" s="63"/>
      <c r="U39" s="63"/>
      <c r="V39" s="63"/>
      <c r="W39" s="147" t="s">
        <v>245</v>
      </c>
      <c r="X39" s="148">
        <v>3</v>
      </c>
      <c r="Y39" s="143"/>
    </row>
    <row r="40" spans="1:27" s="55" customFormat="1" x14ac:dyDescent="0.25">
      <c r="D40" s="143"/>
      <c r="E40" s="143"/>
      <c r="G40" s="143"/>
      <c r="H40" s="63"/>
      <c r="I40" s="63"/>
      <c r="K40" s="63"/>
      <c r="L40" s="63"/>
      <c r="M40" s="143"/>
      <c r="N40" s="63"/>
      <c r="O40" s="63"/>
      <c r="P40" s="63"/>
      <c r="Q40" s="63"/>
      <c r="R40" s="62"/>
      <c r="S40" s="63"/>
      <c r="T40" s="63"/>
      <c r="W40" s="62"/>
      <c r="X40" s="63"/>
      <c r="Y40" s="143"/>
    </row>
    <row r="41" spans="1:27" s="55" customFormat="1" ht="16.5" x14ac:dyDescent="0.25">
      <c r="B41" s="58"/>
      <c r="C41" s="143"/>
      <c r="D41" s="143"/>
      <c r="E41" s="137"/>
      <c r="F41" s="161"/>
      <c r="G41" s="143"/>
      <c r="H41" s="70" t="s">
        <v>52</v>
      </c>
      <c r="I41" s="71">
        <v>3</v>
      </c>
      <c r="J41" s="143"/>
      <c r="K41" s="144" t="s">
        <v>274</v>
      </c>
      <c r="L41" s="71">
        <v>3</v>
      </c>
      <c r="M41" s="143"/>
      <c r="N41" s="162" t="s">
        <v>277</v>
      </c>
      <c r="O41" s="57">
        <v>3</v>
      </c>
      <c r="Q41" s="143"/>
      <c r="R41" s="159" t="s">
        <v>428</v>
      </c>
      <c r="S41" s="428">
        <v>3</v>
      </c>
      <c r="V41" s="143"/>
      <c r="W41" s="145" t="s">
        <v>148</v>
      </c>
      <c r="X41" s="146">
        <v>3</v>
      </c>
      <c r="Y41" s="143"/>
    </row>
    <row r="42" spans="1:27" s="55" customFormat="1" ht="12.75" customHeight="1" x14ac:dyDescent="0.25">
      <c r="G42" s="143"/>
      <c r="M42" s="143"/>
      <c r="Q42" s="143"/>
      <c r="R42" s="158" t="s">
        <v>255</v>
      </c>
      <c r="S42" s="429"/>
      <c r="T42" s="63"/>
      <c r="W42" s="64"/>
      <c r="X42" s="65"/>
      <c r="Y42" s="143"/>
      <c r="Z42" s="143"/>
      <c r="AA42" s="143"/>
    </row>
    <row r="43" spans="1:27" s="55" customFormat="1" ht="16.5" customHeight="1" x14ac:dyDescent="0.25">
      <c r="B43" s="112" t="s">
        <v>249</v>
      </c>
      <c r="C43" s="386">
        <v>2</v>
      </c>
      <c r="D43" s="143"/>
      <c r="E43" s="87" t="s">
        <v>249</v>
      </c>
      <c r="F43" s="394">
        <v>2</v>
      </c>
      <c r="G43" s="143"/>
      <c r="H43" s="113" t="s">
        <v>250</v>
      </c>
      <c r="I43" s="386">
        <v>2</v>
      </c>
      <c r="R43" s="59"/>
      <c r="W43" s="156" t="s">
        <v>272</v>
      </c>
      <c r="X43" s="430">
        <v>3</v>
      </c>
      <c r="Y43" s="143"/>
      <c r="Z43" s="143"/>
      <c r="AA43" s="143"/>
    </row>
    <row r="44" spans="1:27" s="55" customFormat="1" x14ac:dyDescent="0.25">
      <c r="B44" s="115" t="s">
        <v>252</v>
      </c>
      <c r="C44" s="387"/>
      <c r="E44" s="116" t="s">
        <v>253</v>
      </c>
      <c r="F44" s="395"/>
      <c r="H44" s="139" t="s">
        <v>254</v>
      </c>
      <c r="I44" s="387"/>
      <c r="R44" s="59"/>
      <c r="W44" s="157" t="s">
        <v>273</v>
      </c>
      <c r="X44" s="431"/>
    </row>
    <row r="45" spans="1:27" s="55" customFormat="1" x14ac:dyDescent="0.25">
      <c r="B45" s="63"/>
      <c r="C45" s="63"/>
      <c r="D45" s="63"/>
      <c r="E45" s="63"/>
      <c r="F45" s="63"/>
      <c r="G45" s="143"/>
      <c r="H45" s="143"/>
      <c r="I45" s="143"/>
      <c r="R45" s="118"/>
      <c r="S45" s="119"/>
      <c r="W45" s="59"/>
      <c r="Y45" s="143"/>
      <c r="Z45" s="143"/>
      <c r="AA45" s="143"/>
    </row>
    <row r="46" spans="1:27" x14ac:dyDescent="0.2">
      <c r="A46" s="55"/>
      <c r="B46" s="51" t="s">
        <v>256</v>
      </c>
      <c r="C46" s="52">
        <v>3</v>
      </c>
      <c r="D46" s="143"/>
      <c r="E46" s="57" t="s">
        <v>40</v>
      </c>
      <c r="F46" s="57">
        <v>3</v>
      </c>
      <c r="G46" s="143"/>
      <c r="H46" s="51" t="s">
        <v>257</v>
      </c>
      <c r="I46" s="52">
        <v>3</v>
      </c>
      <c r="J46" s="143"/>
      <c r="K46" s="55"/>
      <c r="L46" s="55"/>
      <c r="M46" s="143"/>
      <c r="N46" s="55"/>
      <c r="O46" s="55"/>
      <c r="P46" s="55"/>
      <c r="Q46" s="55"/>
      <c r="R46" s="83" t="s">
        <v>258</v>
      </c>
      <c r="S46" s="142">
        <v>3</v>
      </c>
      <c r="T46" s="55"/>
      <c r="U46" s="55"/>
      <c r="V46" s="55"/>
      <c r="W46" s="59"/>
      <c r="X46" s="55"/>
      <c r="Y46" s="143"/>
      <c r="Z46" s="57" t="s">
        <v>259</v>
      </c>
      <c r="AA46" s="57">
        <v>6</v>
      </c>
    </row>
    <row r="47" spans="1:27" x14ac:dyDescent="0.2">
      <c r="B47" s="48"/>
      <c r="C47" s="48"/>
      <c r="D47" s="48"/>
      <c r="E47" s="48"/>
      <c r="F47" s="48"/>
      <c r="G47" s="48"/>
      <c r="H47" s="121"/>
      <c r="I47" s="121"/>
      <c r="J47" s="48"/>
      <c r="K47" s="48"/>
      <c r="L47" s="48"/>
      <c r="M47" s="48"/>
      <c r="N47" s="48"/>
      <c r="O47" s="48"/>
      <c r="R47" s="122"/>
      <c r="S47" s="123"/>
      <c r="T47" s="123"/>
      <c r="W47" s="122"/>
      <c r="X47" s="124"/>
      <c r="Y47" s="48"/>
    </row>
    <row r="48" spans="1:27" x14ac:dyDescent="0.2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R48" s="122"/>
      <c r="S48" s="123"/>
      <c r="T48" s="123"/>
      <c r="W48" s="122"/>
      <c r="X48" s="124"/>
      <c r="Y48" s="48"/>
      <c r="Z48" s="48"/>
      <c r="AA48" s="48"/>
    </row>
    <row r="49" spans="2:27" x14ac:dyDescent="0.2">
      <c r="B49" s="48"/>
      <c r="C49" s="52">
        <f>SUM(C7:C47)</f>
        <v>19</v>
      </c>
      <c r="D49" s="125"/>
      <c r="E49" s="125"/>
      <c r="F49" s="52">
        <f>SUM(F7:F47)</f>
        <v>21</v>
      </c>
      <c r="G49" s="44"/>
      <c r="H49" s="44"/>
      <c r="I49" s="52">
        <f>SUM(I6:I47)</f>
        <v>21</v>
      </c>
      <c r="J49" s="44"/>
      <c r="K49" s="44"/>
      <c r="L49" s="52">
        <f>SUM(L6:L47)</f>
        <v>22</v>
      </c>
      <c r="M49" s="44"/>
      <c r="N49" s="44"/>
      <c r="O49" s="52">
        <f>SUM(O6:O47)</f>
        <v>22</v>
      </c>
      <c r="P49" s="44"/>
      <c r="Q49" s="44"/>
      <c r="R49" s="126"/>
      <c r="S49" s="52">
        <f>S6+S14+S29+S34+S20+S46+S41</f>
        <v>20</v>
      </c>
      <c r="T49" s="44"/>
      <c r="U49" s="44"/>
      <c r="V49" s="44"/>
      <c r="W49" s="126"/>
      <c r="X49" s="52">
        <v>18</v>
      </c>
      <c r="Y49" s="125"/>
      <c r="Z49" s="127"/>
      <c r="AA49" s="52">
        <v>6</v>
      </c>
    </row>
    <row r="50" spans="2:27" x14ac:dyDescent="0.2">
      <c r="E50" s="128" t="s">
        <v>260</v>
      </c>
      <c r="Q50" s="35"/>
      <c r="R50" s="42"/>
      <c r="S50" s="35"/>
      <c r="T50" s="35"/>
      <c r="U50" s="35"/>
      <c r="V50" s="35"/>
      <c r="W50" s="42"/>
      <c r="X50" s="34"/>
      <c r="Y50" s="35"/>
      <c r="Z50" s="48"/>
    </row>
    <row r="51" spans="2:27" x14ac:dyDescent="0.2">
      <c r="B51" s="127" t="s">
        <v>261</v>
      </c>
      <c r="C51" s="129">
        <f>+C49+F49+I49+L49+O49+S49+X49+AA49</f>
        <v>149</v>
      </c>
      <c r="F51" s="37" t="s">
        <v>262</v>
      </c>
      <c r="L51" s="48"/>
      <c r="M51" s="48"/>
      <c r="N51" s="48"/>
      <c r="Q51" s="35"/>
      <c r="R51" s="42"/>
      <c r="S51" s="35"/>
      <c r="T51" s="35"/>
      <c r="U51" s="35"/>
      <c r="V51" s="35"/>
      <c r="X51" s="34"/>
      <c r="Y51" s="35"/>
    </row>
    <row r="52" spans="2:27" x14ac:dyDescent="0.2">
      <c r="E52" s="48"/>
      <c r="F52" s="37" t="s">
        <v>264</v>
      </c>
      <c r="L52" s="48"/>
      <c r="M52" s="48"/>
      <c r="N52" s="48"/>
      <c r="Q52" s="35"/>
      <c r="R52" s="131"/>
      <c r="S52" s="35"/>
      <c r="T52" s="35"/>
      <c r="U52" s="35"/>
      <c r="V52" s="35"/>
      <c r="W52" s="42"/>
      <c r="X52" s="34"/>
      <c r="Y52" s="35"/>
    </row>
    <row r="53" spans="2:27" x14ac:dyDescent="0.2">
      <c r="E53" s="48"/>
      <c r="F53" s="127" t="s">
        <v>265</v>
      </c>
      <c r="L53" s="48"/>
      <c r="M53" s="48"/>
      <c r="N53" s="48"/>
      <c r="Q53" s="35"/>
      <c r="R53" s="131"/>
      <c r="S53" s="35"/>
      <c r="T53" s="35"/>
      <c r="U53" s="35"/>
      <c r="V53" s="35"/>
      <c r="W53" s="42"/>
      <c r="X53" s="34"/>
      <c r="Y53" s="35"/>
    </row>
    <row r="54" spans="2:27" ht="18.75" x14ac:dyDescent="0.4">
      <c r="F54" s="37" t="s">
        <v>270</v>
      </c>
      <c r="Q54" s="35"/>
      <c r="R54" s="42"/>
      <c r="S54" s="35"/>
      <c r="T54" s="35"/>
      <c r="U54" s="35"/>
      <c r="V54" s="35"/>
      <c r="W54" s="42"/>
      <c r="X54" s="34"/>
      <c r="Y54" s="35"/>
      <c r="AA54" s="132"/>
    </row>
    <row r="55" spans="2:27" x14ac:dyDescent="0.2">
      <c r="W55" s="122"/>
      <c r="X55" s="124"/>
      <c r="Y55" s="48"/>
    </row>
    <row r="67" spans="8:19" ht="18.75" x14ac:dyDescent="0.2">
      <c r="H67" s="134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</row>
    <row r="68" spans="8:19" ht="19.5" x14ac:dyDescent="0.3">
      <c r="H68" s="134"/>
      <c r="I68" s="136"/>
      <c r="J68" s="136"/>
      <c r="K68" s="136"/>
      <c r="L68" s="136"/>
      <c r="M68" s="136"/>
      <c r="N68" s="136"/>
      <c r="O68" s="39"/>
      <c r="P68" s="39"/>
      <c r="Q68" s="39"/>
      <c r="R68" s="39"/>
      <c r="S68" s="39"/>
    </row>
  </sheetData>
  <mergeCells count="17">
    <mergeCell ref="S41:S42"/>
    <mergeCell ref="C43:C44"/>
    <mergeCell ref="F43:F44"/>
    <mergeCell ref="I43:I44"/>
    <mergeCell ref="X43:X44"/>
    <mergeCell ref="F21:F22"/>
    <mergeCell ref="I25:I26"/>
    <mergeCell ref="X26:X27"/>
    <mergeCell ref="S31:S32"/>
    <mergeCell ref="C32:C33"/>
    <mergeCell ref="F32:F33"/>
    <mergeCell ref="L18:L19"/>
    <mergeCell ref="O18:O19"/>
    <mergeCell ref="B1:V1"/>
    <mergeCell ref="B2:W2"/>
    <mergeCell ref="Z4:AA4"/>
    <mergeCell ref="C14:C15"/>
  </mergeCells>
  <pageMargins left="0.31496062992125984" right="0.11811023622047245" top="0.94488188976377963" bottom="0.15748031496062992" header="0.31496062992125984" footer="0.31496062992125984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8"/>
  <sheetViews>
    <sheetView topLeftCell="A34" zoomScale="70" zoomScaleNormal="70" workbookViewId="0">
      <selection activeCell="E41" sqref="E41:G41"/>
    </sheetView>
  </sheetViews>
  <sheetFormatPr defaultRowHeight="15" x14ac:dyDescent="0.25"/>
  <cols>
    <col min="2" max="2" width="15.140625" customWidth="1"/>
    <col min="3" max="3" width="40.85546875" customWidth="1"/>
    <col min="4" max="4" width="9" customWidth="1"/>
    <col min="5" max="5" width="10.5703125" bestFit="1" customWidth="1"/>
    <col min="6" max="6" width="56.140625" customWidth="1"/>
    <col min="7" max="7" width="19.5703125" customWidth="1"/>
    <col min="8" max="8" width="9.140625" hidden="1" customWidth="1"/>
  </cols>
  <sheetData>
    <row r="2" spans="1:11" ht="24" thickBot="1" x14ac:dyDescent="0.4">
      <c r="A2" s="228"/>
      <c r="B2" s="355" t="s">
        <v>340</v>
      </c>
      <c r="F2" s="356" t="s">
        <v>319</v>
      </c>
    </row>
    <row r="3" spans="1:11" ht="15.75" thickBot="1" x14ac:dyDescent="0.3">
      <c r="A3" s="206" t="s">
        <v>1</v>
      </c>
      <c r="B3" s="207" t="s">
        <v>2</v>
      </c>
      <c r="C3" s="207" t="s">
        <v>3</v>
      </c>
      <c r="D3" s="207" t="s">
        <v>4</v>
      </c>
      <c r="E3" s="207" t="s">
        <v>2</v>
      </c>
      <c r="F3" s="207" t="s">
        <v>3</v>
      </c>
      <c r="G3" s="207" t="s">
        <v>4</v>
      </c>
    </row>
    <row r="4" spans="1:11" ht="15.75" thickBot="1" x14ac:dyDescent="0.3">
      <c r="A4" s="402" t="s">
        <v>6</v>
      </c>
      <c r="B4" s="403"/>
      <c r="C4" s="403"/>
      <c r="D4" s="403"/>
      <c r="E4" s="402" t="s">
        <v>6</v>
      </c>
      <c r="F4" s="403"/>
      <c r="G4" s="403"/>
      <c r="H4" s="403"/>
    </row>
    <row r="5" spans="1:11" ht="15.75" thickBot="1" x14ac:dyDescent="0.3">
      <c r="A5" s="208">
        <v>1</v>
      </c>
      <c r="B5" s="209" t="s">
        <v>7</v>
      </c>
      <c r="C5" s="210" t="s">
        <v>281</v>
      </c>
      <c r="D5" s="209">
        <v>3</v>
      </c>
      <c r="E5" s="176" t="s">
        <v>7</v>
      </c>
      <c r="F5" s="177" t="s">
        <v>281</v>
      </c>
      <c r="G5" s="176">
        <v>3</v>
      </c>
    </row>
    <row r="6" spans="1:11" ht="15.75" thickBot="1" x14ac:dyDescent="0.3">
      <c r="A6" s="208">
        <v>2</v>
      </c>
      <c r="B6" s="209" t="s">
        <v>10</v>
      </c>
      <c r="C6" s="211" t="s">
        <v>11</v>
      </c>
      <c r="D6" s="209">
        <v>3</v>
      </c>
      <c r="E6" s="176" t="s">
        <v>10</v>
      </c>
      <c r="F6" s="181" t="s">
        <v>11</v>
      </c>
      <c r="G6" s="176">
        <v>3</v>
      </c>
    </row>
    <row r="7" spans="1:11" ht="15.75" thickBot="1" x14ac:dyDescent="0.3">
      <c r="A7" s="208">
        <v>3</v>
      </c>
      <c r="B7" s="209" t="s">
        <v>12</v>
      </c>
      <c r="C7" s="211" t="s">
        <v>13</v>
      </c>
      <c r="D7" s="209">
        <v>3</v>
      </c>
      <c r="E7" s="176" t="s">
        <v>12</v>
      </c>
      <c r="F7" s="181" t="s">
        <v>13</v>
      </c>
      <c r="G7" s="176">
        <v>3</v>
      </c>
    </row>
    <row r="8" spans="1:11" ht="15.75" thickBot="1" x14ac:dyDescent="0.3">
      <c r="A8" s="208">
        <v>4</v>
      </c>
      <c r="B8" s="209" t="s">
        <v>14</v>
      </c>
      <c r="C8" s="210" t="s">
        <v>284</v>
      </c>
      <c r="D8" s="209">
        <v>2</v>
      </c>
      <c r="E8" s="176" t="s">
        <v>14</v>
      </c>
      <c r="F8" s="177" t="s">
        <v>284</v>
      </c>
      <c r="G8" s="176">
        <v>2</v>
      </c>
    </row>
    <row r="9" spans="1:11" ht="15.75" thickBot="1" x14ac:dyDescent="0.3">
      <c r="A9" s="208">
        <v>5</v>
      </c>
      <c r="B9" s="209" t="s">
        <v>17</v>
      </c>
      <c r="C9" s="211" t="s">
        <v>18</v>
      </c>
      <c r="D9" s="209">
        <v>3</v>
      </c>
      <c r="E9" s="176" t="s">
        <v>17</v>
      </c>
      <c r="F9" s="181" t="s">
        <v>18</v>
      </c>
      <c r="G9" s="176">
        <v>3</v>
      </c>
    </row>
    <row r="10" spans="1:11" ht="15.75" thickBot="1" x14ac:dyDescent="0.3">
      <c r="A10" s="208">
        <v>6</v>
      </c>
      <c r="B10" s="209" t="s">
        <v>19</v>
      </c>
      <c r="C10" s="211" t="s">
        <v>20</v>
      </c>
      <c r="D10" s="209">
        <v>2</v>
      </c>
      <c r="E10" s="176" t="s">
        <v>19</v>
      </c>
      <c r="F10" s="181" t="s">
        <v>20</v>
      </c>
      <c r="G10" s="176">
        <v>2</v>
      </c>
    </row>
    <row r="11" spans="1:11" ht="15.75" thickBot="1" x14ac:dyDescent="0.3">
      <c r="A11" s="208">
        <v>7</v>
      </c>
      <c r="B11" s="209" t="s">
        <v>22</v>
      </c>
      <c r="C11" s="210" t="s">
        <v>285</v>
      </c>
      <c r="D11" s="209">
        <v>3</v>
      </c>
      <c r="E11" s="176" t="s">
        <v>22</v>
      </c>
      <c r="F11" s="177" t="s">
        <v>285</v>
      </c>
      <c r="G11" s="176">
        <v>3</v>
      </c>
    </row>
    <row r="12" spans="1:11" ht="15.75" thickBot="1" x14ac:dyDescent="0.3">
      <c r="A12" s="212"/>
      <c r="B12" s="213"/>
      <c r="C12" s="214"/>
      <c r="D12" s="215">
        <f>SUM(D5:D11)</f>
        <v>19</v>
      </c>
      <c r="E12" s="231"/>
      <c r="F12" s="232"/>
      <c r="G12" s="232">
        <f>SUM(G5:G11)</f>
        <v>19</v>
      </c>
    </row>
    <row r="13" spans="1:11" ht="15.75" thickBot="1" x14ac:dyDescent="0.3">
      <c r="A13" s="402" t="s">
        <v>24</v>
      </c>
      <c r="B13" s="403"/>
      <c r="C13" s="403"/>
      <c r="D13" s="403"/>
      <c r="E13" s="402" t="s">
        <v>24</v>
      </c>
      <c r="F13" s="403"/>
      <c r="G13" s="403"/>
      <c r="H13" s="403"/>
      <c r="I13" s="176" t="s">
        <v>282</v>
      </c>
      <c r="J13" s="179" t="s">
        <v>271</v>
      </c>
      <c r="K13" s="176">
        <v>2</v>
      </c>
    </row>
    <row r="14" spans="1:11" ht="15.75" thickBot="1" x14ac:dyDescent="0.3">
      <c r="A14" s="208">
        <v>1</v>
      </c>
      <c r="B14" s="209" t="s">
        <v>25</v>
      </c>
      <c r="C14" s="211" t="s">
        <v>26</v>
      </c>
      <c r="D14" s="209">
        <v>2</v>
      </c>
      <c r="E14" s="176" t="s">
        <v>25</v>
      </c>
      <c r="F14" s="181" t="s">
        <v>26</v>
      </c>
      <c r="G14" s="176">
        <v>2</v>
      </c>
    </row>
    <row r="15" spans="1:11" ht="15.75" thickBot="1" x14ac:dyDescent="0.3">
      <c r="A15" s="208">
        <v>2</v>
      </c>
      <c r="B15" s="209" t="s">
        <v>27</v>
      </c>
      <c r="C15" s="210" t="s">
        <v>286</v>
      </c>
      <c r="D15" s="209">
        <v>3</v>
      </c>
      <c r="E15" s="176" t="s">
        <v>27</v>
      </c>
      <c r="F15" s="177" t="s">
        <v>286</v>
      </c>
      <c r="G15" s="176">
        <v>3</v>
      </c>
    </row>
    <row r="16" spans="1:11" ht="15.75" thickBot="1" x14ac:dyDescent="0.3">
      <c r="A16" s="208">
        <v>3</v>
      </c>
      <c r="B16" s="209" t="s">
        <v>29</v>
      </c>
      <c r="C16" s="211" t="s">
        <v>30</v>
      </c>
      <c r="D16" s="209">
        <v>2</v>
      </c>
      <c r="E16" s="183" t="s">
        <v>29</v>
      </c>
      <c r="F16" s="179" t="s">
        <v>30</v>
      </c>
      <c r="G16" s="183">
        <v>2</v>
      </c>
    </row>
    <row r="17" spans="1:8" ht="15.75" thickBot="1" x14ac:dyDescent="0.3">
      <c r="A17" s="208">
        <v>4</v>
      </c>
      <c r="B17" s="209" t="s">
        <v>31</v>
      </c>
      <c r="C17" s="210" t="s">
        <v>287</v>
      </c>
      <c r="D17" s="209">
        <v>2</v>
      </c>
      <c r="E17" s="183" t="s">
        <v>31</v>
      </c>
      <c r="F17" s="184" t="s">
        <v>287</v>
      </c>
      <c r="G17" s="183">
        <v>2</v>
      </c>
    </row>
    <row r="18" spans="1:8" ht="15.75" thickBot="1" x14ac:dyDescent="0.3">
      <c r="A18" s="208">
        <v>5</v>
      </c>
      <c r="B18" s="209" t="s">
        <v>33</v>
      </c>
      <c r="C18" s="211" t="s">
        <v>34</v>
      </c>
      <c r="D18" s="209">
        <v>2</v>
      </c>
      <c r="E18" s="176" t="s">
        <v>33</v>
      </c>
      <c r="F18" s="181" t="s">
        <v>34</v>
      </c>
      <c r="G18" s="176">
        <v>2</v>
      </c>
    </row>
    <row r="19" spans="1:8" ht="29.25" thickBot="1" x14ac:dyDescent="0.3">
      <c r="A19" s="208">
        <v>6</v>
      </c>
      <c r="B19" s="209" t="s">
        <v>35</v>
      </c>
      <c r="C19" s="210" t="s">
        <v>288</v>
      </c>
      <c r="D19" s="209">
        <v>2</v>
      </c>
      <c r="E19" s="176" t="s">
        <v>35</v>
      </c>
      <c r="F19" s="238" t="s">
        <v>288</v>
      </c>
      <c r="G19" s="176">
        <v>2</v>
      </c>
    </row>
    <row r="20" spans="1:8" ht="15.75" thickBot="1" x14ac:dyDescent="0.3">
      <c r="A20" s="208">
        <v>7</v>
      </c>
      <c r="B20" s="209" t="s">
        <v>37</v>
      </c>
      <c r="C20" s="211" t="s">
        <v>38</v>
      </c>
      <c r="D20" s="209">
        <v>2</v>
      </c>
      <c r="E20" s="176" t="s">
        <v>37</v>
      </c>
      <c r="F20" s="181" t="s">
        <v>38</v>
      </c>
      <c r="G20" s="176">
        <v>2</v>
      </c>
    </row>
    <row r="21" spans="1:8" ht="15.75" thickBot="1" x14ac:dyDescent="0.3">
      <c r="A21" s="208">
        <v>8</v>
      </c>
      <c r="B21" s="209" t="s">
        <v>39</v>
      </c>
      <c r="C21" s="211" t="s">
        <v>40</v>
      </c>
      <c r="D21" s="209">
        <v>3</v>
      </c>
      <c r="E21" s="235" t="s">
        <v>39</v>
      </c>
      <c r="F21" s="236" t="s">
        <v>40</v>
      </c>
      <c r="G21" s="235">
        <v>3</v>
      </c>
    </row>
    <row r="22" spans="1:8" ht="15.75" thickBot="1" x14ac:dyDescent="0.3">
      <c r="A22" s="208">
        <v>9</v>
      </c>
      <c r="B22" s="209"/>
      <c r="C22" s="211"/>
      <c r="D22" s="233"/>
      <c r="E22" s="248" t="s">
        <v>131</v>
      </c>
      <c r="F22" s="249" t="s">
        <v>128</v>
      </c>
      <c r="G22" s="250">
        <v>3</v>
      </c>
    </row>
    <row r="23" spans="1:8" ht="15.75" thickBot="1" x14ac:dyDescent="0.3">
      <c r="A23" s="212"/>
      <c r="B23" s="213"/>
      <c r="C23" s="214"/>
      <c r="D23" s="234">
        <v>18</v>
      </c>
      <c r="E23" s="237"/>
      <c r="F23" s="237"/>
      <c r="G23" s="239">
        <f>SUM(G14:G22)</f>
        <v>21</v>
      </c>
    </row>
    <row r="24" spans="1:8" ht="15.75" thickBot="1" x14ac:dyDescent="0.3">
      <c r="A24" s="402" t="s">
        <v>41</v>
      </c>
      <c r="B24" s="403"/>
      <c r="C24" s="403"/>
      <c r="D24" s="403"/>
      <c r="E24" s="402" t="s">
        <v>41</v>
      </c>
      <c r="F24" s="403"/>
      <c r="G24" s="403"/>
      <c r="H24" s="403"/>
    </row>
    <row r="25" spans="1:8" ht="15.75" thickBot="1" x14ac:dyDescent="0.3">
      <c r="A25" s="208">
        <v>1</v>
      </c>
      <c r="B25" s="209" t="s">
        <v>42</v>
      </c>
      <c r="C25" s="211" t="s">
        <v>43</v>
      </c>
      <c r="D25" s="209">
        <v>3</v>
      </c>
      <c r="E25" s="176" t="s">
        <v>42</v>
      </c>
      <c r="F25" s="181" t="s">
        <v>43</v>
      </c>
      <c r="G25" s="176">
        <v>3</v>
      </c>
    </row>
    <row r="26" spans="1:8" ht="15.75" thickBot="1" x14ac:dyDescent="0.3">
      <c r="A26" s="208">
        <v>2</v>
      </c>
      <c r="B26" s="209" t="s">
        <v>45</v>
      </c>
      <c r="C26" s="210" t="s">
        <v>320</v>
      </c>
      <c r="D26" s="209">
        <v>3</v>
      </c>
      <c r="E26" s="176" t="s">
        <v>45</v>
      </c>
      <c r="F26" s="177" t="s">
        <v>289</v>
      </c>
      <c r="G26" s="176">
        <v>3</v>
      </c>
    </row>
    <row r="27" spans="1:8" ht="15.75" thickBot="1" x14ac:dyDescent="0.3">
      <c r="A27" s="208">
        <v>3</v>
      </c>
      <c r="B27" s="209" t="s">
        <v>47</v>
      </c>
      <c r="C27" s="211" t="s">
        <v>48</v>
      </c>
      <c r="D27" s="209">
        <v>2</v>
      </c>
      <c r="E27" s="176" t="s">
        <v>47</v>
      </c>
      <c r="F27" s="181" t="s">
        <v>48</v>
      </c>
      <c r="G27" s="176">
        <v>2</v>
      </c>
    </row>
    <row r="28" spans="1:8" ht="15.75" thickBot="1" x14ac:dyDescent="0.3">
      <c r="A28" s="208">
        <v>4</v>
      </c>
      <c r="B28" s="209" t="s">
        <v>49</v>
      </c>
      <c r="C28" s="211" t="s">
        <v>50</v>
      </c>
      <c r="D28" s="209">
        <v>3</v>
      </c>
      <c r="E28" s="176" t="s">
        <v>49</v>
      </c>
      <c r="F28" s="181" t="s">
        <v>50</v>
      </c>
      <c r="G28" s="176">
        <v>3</v>
      </c>
    </row>
    <row r="29" spans="1:8" ht="15.75" thickBot="1" x14ac:dyDescent="0.3">
      <c r="A29" s="208">
        <v>5</v>
      </c>
      <c r="B29" s="209" t="s">
        <v>51</v>
      </c>
      <c r="C29" s="211" t="s">
        <v>290</v>
      </c>
      <c r="D29" s="209">
        <v>3</v>
      </c>
      <c r="E29" s="183" t="s">
        <v>51</v>
      </c>
      <c r="F29" s="179" t="s">
        <v>290</v>
      </c>
      <c r="G29" s="183">
        <v>3</v>
      </c>
    </row>
    <row r="30" spans="1:8" ht="15.75" thickBot="1" x14ac:dyDescent="0.3">
      <c r="A30" s="208">
        <v>6</v>
      </c>
      <c r="B30" s="209" t="s">
        <v>53</v>
      </c>
      <c r="C30" s="211" t="s">
        <v>54</v>
      </c>
      <c r="D30" s="209">
        <v>2</v>
      </c>
      <c r="E30" s="176" t="s">
        <v>53</v>
      </c>
      <c r="F30" s="181" t="s">
        <v>54</v>
      </c>
      <c r="G30" s="176">
        <v>2</v>
      </c>
    </row>
    <row r="31" spans="1:8" ht="29.25" thickBot="1" x14ac:dyDescent="0.3">
      <c r="A31" s="208">
        <v>7</v>
      </c>
      <c r="B31" s="209" t="s">
        <v>55</v>
      </c>
      <c r="C31" s="210" t="s">
        <v>291</v>
      </c>
      <c r="D31" s="209">
        <v>3</v>
      </c>
      <c r="E31" s="176" t="s">
        <v>55</v>
      </c>
      <c r="F31" s="238" t="s">
        <v>291</v>
      </c>
      <c r="G31" s="176">
        <v>3</v>
      </c>
    </row>
    <row r="32" spans="1:8" ht="15.75" thickBot="1" x14ac:dyDescent="0.3">
      <c r="A32" s="208">
        <v>8</v>
      </c>
      <c r="B32" s="209" t="s">
        <v>57</v>
      </c>
      <c r="C32" s="211" t="s">
        <v>58</v>
      </c>
      <c r="D32" s="209">
        <v>2</v>
      </c>
      <c r="E32" s="176" t="s">
        <v>57</v>
      </c>
      <c r="F32" s="181" t="s">
        <v>58</v>
      </c>
      <c r="G32" s="176">
        <v>2</v>
      </c>
    </row>
    <row r="33" spans="1:8" ht="15.75" thickBot="1" x14ac:dyDescent="0.3">
      <c r="A33" s="212"/>
      <c r="B33" s="213"/>
      <c r="C33" s="214"/>
      <c r="D33" s="234">
        <v>21</v>
      </c>
      <c r="E33" s="241"/>
      <c r="F33" s="242"/>
      <c r="G33" s="243">
        <f>SUM(G25:G32)</f>
        <v>21</v>
      </c>
    </row>
    <row r="34" spans="1:8" ht="15.75" thickBot="1" x14ac:dyDescent="0.3">
      <c r="A34" s="402" t="s">
        <v>59</v>
      </c>
      <c r="B34" s="403"/>
      <c r="C34" s="403"/>
      <c r="D34" s="403"/>
      <c r="E34" s="402" t="s">
        <v>59</v>
      </c>
      <c r="F34" s="403"/>
      <c r="G34" s="403"/>
      <c r="H34" s="403"/>
    </row>
    <row r="35" spans="1:8" ht="15.75" thickBot="1" x14ac:dyDescent="0.3">
      <c r="A35" s="208">
        <v>1</v>
      </c>
      <c r="B35" s="216" t="s">
        <v>60</v>
      </c>
      <c r="C35" s="217" t="s">
        <v>292</v>
      </c>
      <c r="D35" s="216">
        <v>3</v>
      </c>
      <c r="E35" s="176" t="s">
        <v>60</v>
      </c>
      <c r="F35" s="177" t="s">
        <v>292</v>
      </c>
      <c r="G35" s="176">
        <v>3</v>
      </c>
    </row>
    <row r="36" spans="1:8" ht="15.75" thickBot="1" x14ac:dyDescent="0.3">
      <c r="A36" s="208">
        <v>2</v>
      </c>
      <c r="B36" s="216" t="s">
        <v>62</v>
      </c>
      <c r="C36" s="217" t="s">
        <v>293</v>
      </c>
      <c r="D36" s="216">
        <v>3</v>
      </c>
      <c r="E36" s="176" t="s">
        <v>62</v>
      </c>
      <c r="F36" s="177" t="s">
        <v>293</v>
      </c>
      <c r="G36" s="176">
        <v>3</v>
      </c>
    </row>
    <row r="37" spans="1:8" ht="29.25" thickBot="1" x14ac:dyDescent="0.3">
      <c r="A37" s="208">
        <v>3</v>
      </c>
      <c r="B37" s="216" t="s">
        <v>64</v>
      </c>
      <c r="C37" s="217" t="s">
        <v>294</v>
      </c>
      <c r="D37" s="216">
        <v>3</v>
      </c>
      <c r="E37" s="176" t="s">
        <v>64</v>
      </c>
      <c r="F37" s="177" t="s">
        <v>294</v>
      </c>
      <c r="G37" s="176">
        <v>3</v>
      </c>
    </row>
    <row r="38" spans="1:8" ht="15.75" thickBot="1" x14ac:dyDescent="0.3">
      <c r="A38" s="208">
        <v>4</v>
      </c>
      <c r="B38" s="216" t="s">
        <v>66</v>
      </c>
      <c r="C38" s="218" t="s">
        <v>182</v>
      </c>
      <c r="D38" s="216">
        <v>2</v>
      </c>
      <c r="E38" s="176" t="s">
        <v>66</v>
      </c>
      <c r="F38" s="181" t="s">
        <v>182</v>
      </c>
      <c r="G38" s="176">
        <v>2</v>
      </c>
    </row>
    <row r="39" spans="1:8" ht="15.75" thickBot="1" x14ac:dyDescent="0.3">
      <c r="A39" s="208">
        <v>5</v>
      </c>
      <c r="B39" s="216" t="s">
        <v>67</v>
      </c>
      <c r="C39" s="218" t="s">
        <v>68</v>
      </c>
      <c r="D39" s="216">
        <v>3</v>
      </c>
      <c r="E39" s="176" t="s">
        <v>67</v>
      </c>
      <c r="F39" s="181" t="s">
        <v>68</v>
      </c>
      <c r="G39" s="176">
        <v>3</v>
      </c>
    </row>
    <row r="40" spans="1:8" ht="15.75" thickBot="1" x14ac:dyDescent="0.3">
      <c r="A40" s="208">
        <v>6</v>
      </c>
      <c r="B40" s="216" t="s">
        <v>69</v>
      </c>
      <c r="C40" s="218" t="s">
        <v>70</v>
      </c>
      <c r="D40" s="216">
        <v>3</v>
      </c>
      <c r="E40" s="176" t="s">
        <v>69</v>
      </c>
      <c r="F40" s="181" t="s">
        <v>70</v>
      </c>
      <c r="G40" s="176">
        <v>3</v>
      </c>
    </row>
    <row r="41" spans="1:8" ht="15.75" thickBot="1" x14ac:dyDescent="0.3">
      <c r="A41" s="208">
        <v>7</v>
      </c>
      <c r="B41" s="209" t="s">
        <v>71</v>
      </c>
      <c r="C41" s="211" t="s">
        <v>296</v>
      </c>
      <c r="D41" s="209">
        <v>3</v>
      </c>
      <c r="E41" s="183" t="s">
        <v>295</v>
      </c>
      <c r="F41" s="179" t="s">
        <v>296</v>
      </c>
      <c r="G41" s="183">
        <v>3</v>
      </c>
    </row>
    <row r="42" spans="1:8" ht="15.75" thickBot="1" x14ac:dyDescent="0.3">
      <c r="A42" s="208">
        <v>8</v>
      </c>
      <c r="B42" s="216" t="s">
        <v>72</v>
      </c>
      <c r="C42" s="218" t="s">
        <v>73</v>
      </c>
      <c r="D42" s="216">
        <v>2</v>
      </c>
      <c r="E42" s="176" t="s">
        <v>72</v>
      </c>
      <c r="F42" s="181" t="s">
        <v>73</v>
      </c>
      <c r="G42" s="176">
        <v>2</v>
      </c>
    </row>
    <row r="43" spans="1:8" ht="15.75" thickBot="1" x14ac:dyDescent="0.3">
      <c r="A43" s="212"/>
      <c r="B43" s="213"/>
      <c r="C43" s="214"/>
      <c r="D43" s="215">
        <v>22</v>
      </c>
      <c r="E43" s="246"/>
      <c r="F43" s="246"/>
      <c r="G43" s="247">
        <f>SUM(G35:G42)</f>
        <v>22</v>
      </c>
    </row>
    <row r="44" spans="1:8" ht="15.75" thickBot="1" x14ac:dyDescent="0.3">
      <c r="A44" s="402" t="s">
        <v>74</v>
      </c>
      <c r="B44" s="403"/>
      <c r="C44" s="403"/>
      <c r="D44" s="403"/>
      <c r="E44" s="402" t="s">
        <v>74</v>
      </c>
      <c r="F44" s="403"/>
      <c r="G44" s="403"/>
      <c r="H44" s="403"/>
    </row>
    <row r="45" spans="1:8" ht="15.75" thickBot="1" x14ac:dyDescent="0.3">
      <c r="A45" s="208">
        <v>1</v>
      </c>
      <c r="B45" s="216" t="s">
        <v>75</v>
      </c>
      <c r="C45" s="211" t="s">
        <v>321</v>
      </c>
      <c r="D45" s="209">
        <v>2</v>
      </c>
      <c r="E45" s="244" t="s">
        <v>298</v>
      </c>
      <c r="F45" s="245" t="s">
        <v>184</v>
      </c>
      <c r="G45" s="185">
        <v>2</v>
      </c>
    </row>
    <row r="46" spans="1:8" ht="15.75" thickBot="1" x14ac:dyDescent="0.3">
      <c r="A46" s="208">
        <v>2</v>
      </c>
      <c r="B46" s="216" t="s">
        <v>77</v>
      </c>
      <c r="C46" s="218" t="s">
        <v>322</v>
      </c>
      <c r="D46" s="216">
        <v>3</v>
      </c>
      <c r="E46" s="176" t="s">
        <v>77</v>
      </c>
      <c r="F46" s="181" t="s">
        <v>300</v>
      </c>
      <c r="G46" s="176">
        <v>3</v>
      </c>
    </row>
    <row r="47" spans="1:8" ht="15.75" thickBot="1" x14ac:dyDescent="0.3">
      <c r="A47" s="208">
        <v>3</v>
      </c>
      <c r="B47" s="216" t="s">
        <v>79</v>
      </c>
      <c r="C47" s="218" t="s">
        <v>80</v>
      </c>
      <c r="D47" s="216">
        <v>3</v>
      </c>
      <c r="E47" s="176" t="s">
        <v>79</v>
      </c>
      <c r="F47" s="181" t="s">
        <v>80</v>
      </c>
      <c r="G47" s="176">
        <v>3</v>
      </c>
    </row>
    <row r="48" spans="1:8" ht="15.75" thickBot="1" x14ac:dyDescent="0.3">
      <c r="A48" s="208">
        <v>4</v>
      </c>
      <c r="B48" s="216" t="s">
        <v>81</v>
      </c>
      <c r="C48" s="217" t="s">
        <v>301</v>
      </c>
      <c r="D48" s="216">
        <v>3</v>
      </c>
      <c r="E48" s="176" t="s">
        <v>81</v>
      </c>
      <c r="F48" s="177" t="s">
        <v>301</v>
      </c>
      <c r="G48" s="176">
        <v>3</v>
      </c>
    </row>
    <row r="49" spans="1:8" ht="15.75" thickBot="1" x14ac:dyDescent="0.3">
      <c r="A49" s="208">
        <v>5</v>
      </c>
      <c r="B49" s="216" t="s">
        <v>83</v>
      </c>
      <c r="C49" s="217" t="s">
        <v>302</v>
      </c>
      <c r="D49" s="216">
        <v>3</v>
      </c>
      <c r="E49" s="176" t="s">
        <v>83</v>
      </c>
      <c r="F49" s="177" t="s">
        <v>302</v>
      </c>
      <c r="G49" s="176">
        <v>3</v>
      </c>
    </row>
    <row r="50" spans="1:8" ht="15.75" thickBot="1" x14ac:dyDescent="0.3">
      <c r="A50" s="208">
        <v>6</v>
      </c>
      <c r="B50" s="216" t="s">
        <v>85</v>
      </c>
      <c r="C50" s="218" t="s">
        <v>86</v>
      </c>
      <c r="D50" s="216">
        <v>2</v>
      </c>
      <c r="E50" s="176" t="s">
        <v>85</v>
      </c>
      <c r="F50" s="181" t="s">
        <v>86</v>
      </c>
      <c r="G50" s="176">
        <v>2</v>
      </c>
    </row>
    <row r="51" spans="1:8" ht="29.25" thickBot="1" x14ac:dyDescent="0.3">
      <c r="A51" s="208">
        <v>7</v>
      </c>
      <c r="B51" s="209" t="s">
        <v>323</v>
      </c>
      <c r="C51" s="210" t="s">
        <v>324</v>
      </c>
      <c r="D51" s="209">
        <v>3</v>
      </c>
      <c r="E51" s="183" t="s">
        <v>87</v>
      </c>
      <c r="F51" s="184" t="s">
        <v>304</v>
      </c>
      <c r="G51" s="183">
        <v>3</v>
      </c>
    </row>
    <row r="52" spans="1:8" ht="15.75" thickBot="1" x14ac:dyDescent="0.3">
      <c r="A52" s="208">
        <v>8</v>
      </c>
      <c r="B52" s="216" t="s">
        <v>88</v>
      </c>
      <c r="C52" s="218" t="s">
        <v>89</v>
      </c>
      <c r="D52" s="216">
        <v>3</v>
      </c>
      <c r="E52" s="251" t="s">
        <v>88</v>
      </c>
      <c r="F52" s="252" t="s">
        <v>89</v>
      </c>
      <c r="G52" s="251">
        <v>3</v>
      </c>
    </row>
    <row r="53" spans="1:8" ht="15.75" thickBot="1" x14ac:dyDescent="0.3">
      <c r="A53" s="212"/>
      <c r="B53" s="213"/>
      <c r="C53" s="214"/>
      <c r="D53" s="215">
        <v>22</v>
      </c>
      <c r="E53" s="246"/>
      <c r="F53" s="246"/>
      <c r="G53" s="258">
        <f>SUM(G45:G52)</f>
        <v>22</v>
      </c>
    </row>
    <row r="54" spans="1:8" ht="15.75" thickBot="1" x14ac:dyDescent="0.3">
      <c r="A54" s="402" t="s">
        <v>90</v>
      </c>
      <c r="B54" s="403"/>
      <c r="C54" s="403"/>
      <c r="D54" s="403"/>
      <c r="E54" s="402" t="s">
        <v>90</v>
      </c>
      <c r="F54" s="403"/>
      <c r="G54" s="440"/>
      <c r="H54" s="403"/>
    </row>
    <row r="55" spans="1:8" ht="15.75" thickBot="1" x14ac:dyDescent="0.3">
      <c r="A55" s="208">
        <v>1</v>
      </c>
      <c r="B55" s="216" t="s">
        <v>91</v>
      </c>
      <c r="C55" s="218" t="s">
        <v>92</v>
      </c>
      <c r="D55" s="216">
        <v>3</v>
      </c>
      <c r="E55" s="176" t="s">
        <v>91</v>
      </c>
      <c r="F55" s="181" t="s">
        <v>92</v>
      </c>
      <c r="G55" s="176">
        <v>3</v>
      </c>
    </row>
    <row r="56" spans="1:8" ht="29.25" thickBot="1" x14ac:dyDescent="0.3">
      <c r="A56" s="208">
        <v>2</v>
      </c>
      <c r="B56" s="216" t="s">
        <v>93</v>
      </c>
      <c r="C56" s="217" t="s">
        <v>305</v>
      </c>
      <c r="D56" s="216">
        <v>3</v>
      </c>
      <c r="E56" s="176" t="s">
        <v>93</v>
      </c>
      <c r="F56" s="177" t="s">
        <v>305</v>
      </c>
      <c r="G56" s="176">
        <v>3</v>
      </c>
    </row>
    <row r="57" spans="1:8" ht="15.75" thickBot="1" x14ac:dyDescent="0.3">
      <c r="A57" s="208"/>
      <c r="B57" s="216"/>
      <c r="C57" s="217"/>
      <c r="D57" s="216"/>
      <c r="E57" s="244" t="s">
        <v>341</v>
      </c>
      <c r="F57" s="255" t="s">
        <v>271</v>
      </c>
      <c r="G57" s="256">
        <v>2</v>
      </c>
    </row>
    <row r="58" spans="1:8" ht="29.25" thickBot="1" x14ac:dyDescent="0.3">
      <c r="A58" s="208">
        <v>3</v>
      </c>
      <c r="B58" s="216" t="s">
        <v>325</v>
      </c>
      <c r="C58" s="217" t="s">
        <v>314</v>
      </c>
      <c r="D58" s="216">
        <v>3</v>
      </c>
      <c r="E58" s="176"/>
      <c r="F58" s="177"/>
      <c r="G58" s="172"/>
    </row>
    <row r="59" spans="1:8" ht="15.75" thickBot="1" x14ac:dyDescent="0.3">
      <c r="A59" s="208">
        <v>4</v>
      </c>
      <c r="B59" s="216" t="s">
        <v>97</v>
      </c>
      <c r="C59" s="217" t="s">
        <v>306</v>
      </c>
      <c r="D59" s="216">
        <v>3</v>
      </c>
      <c r="E59" s="176" t="s">
        <v>97</v>
      </c>
      <c r="F59" s="177" t="s">
        <v>306</v>
      </c>
      <c r="G59" s="176">
        <v>3</v>
      </c>
    </row>
    <row r="60" spans="1:8" ht="29.25" thickBot="1" x14ac:dyDescent="0.3">
      <c r="A60" s="208">
        <v>5</v>
      </c>
      <c r="B60" s="216" t="s">
        <v>99</v>
      </c>
      <c r="C60" s="217" t="s">
        <v>307</v>
      </c>
      <c r="D60" s="216">
        <v>3</v>
      </c>
      <c r="E60" s="176" t="s">
        <v>99</v>
      </c>
      <c r="F60" s="238" t="s">
        <v>307</v>
      </c>
      <c r="G60" s="176">
        <v>3</v>
      </c>
    </row>
    <row r="61" spans="1:8" ht="15.75" thickBot="1" x14ac:dyDescent="0.3">
      <c r="A61" s="208">
        <v>6</v>
      </c>
      <c r="B61" s="216" t="s">
        <v>101</v>
      </c>
      <c r="C61" s="217" t="s">
        <v>308</v>
      </c>
      <c r="D61" s="216">
        <v>3</v>
      </c>
      <c r="E61" s="176" t="s">
        <v>101</v>
      </c>
      <c r="F61" s="177" t="s">
        <v>308</v>
      </c>
      <c r="G61" s="176">
        <v>3</v>
      </c>
    </row>
    <row r="62" spans="1:8" ht="15.75" thickBot="1" x14ac:dyDescent="0.3">
      <c r="A62" s="404">
        <v>7</v>
      </c>
      <c r="B62" s="404"/>
      <c r="C62" s="220" t="s">
        <v>326</v>
      </c>
      <c r="D62" s="404">
        <v>3</v>
      </c>
      <c r="E62" s="182"/>
      <c r="F62" s="181" t="s">
        <v>103</v>
      </c>
      <c r="G62" s="437">
        <v>3</v>
      </c>
    </row>
    <row r="63" spans="1:8" ht="15.75" thickBot="1" x14ac:dyDescent="0.3">
      <c r="A63" s="406"/>
      <c r="B63" s="406"/>
      <c r="C63" s="221" t="s">
        <v>104</v>
      </c>
      <c r="D63" s="406"/>
      <c r="E63" s="182"/>
      <c r="F63" s="187" t="s">
        <v>104</v>
      </c>
      <c r="G63" s="438"/>
    </row>
    <row r="64" spans="1:8" ht="15.75" thickBot="1" x14ac:dyDescent="0.3">
      <c r="A64" s="406"/>
      <c r="B64" s="406"/>
      <c r="C64" s="222" t="s">
        <v>327</v>
      </c>
      <c r="D64" s="406"/>
      <c r="E64" s="182"/>
      <c r="F64" s="181" t="s">
        <v>169</v>
      </c>
      <c r="G64" s="438"/>
    </row>
    <row r="65" spans="1:7" ht="15.75" thickBot="1" x14ac:dyDescent="0.3">
      <c r="A65" s="406"/>
      <c r="B65" s="406"/>
      <c r="C65" s="222" t="s">
        <v>328</v>
      </c>
      <c r="D65" s="406"/>
      <c r="E65" s="182"/>
      <c r="F65" s="181" t="s">
        <v>170</v>
      </c>
      <c r="G65" s="438"/>
    </row>
    <row r="66" spans="1:7" ht="15.75" thickBot="1" x14ac:dyDescent="0.3">
      <c r="A66" s="406"/>
      <c r="B66" s="406"/>
      <c r="C66" s="222" t="s">
        <v>329</v>
      </c>
      <c r="D66" s="406"/>
      <c r="E66" s="182"/>
      <c r="F66" s="181" t="s">
        <v>163</v>
      </c>
      <c r="G66" s="438"/>
    </row>
    <row r="67" spans="1:7" ht="15.75" thickBot="1" x14ac:dyDescent="0.3">
      <c r="A67" s="406"/>
      <c r="B67" s="406"/>
      <c r="C67" s="222" t="s">
        <v>330</v>
      </c>
      <c r="D67" s="406"/>
      <c r="E67" s="182"/>
      <c r="F67" s="181" t="s">
        <v>164</v>
      </c>
      <c r="G67" s="438"/>
    </row>
    <row r="68" spans="1:7" ht="15.75" thickBot="1" x14ac:dyDescent="0.3">
      <c r="A68" s="406"/>
      <c r="B68" s="406"/>
      <c r="C68" s="222" t="s">
        <v>331</v>
      </c>
      <c r="D68" s="406"/>
      <c r="E68" s="182"/>
      <c r="F68" s="181" t="s">
        <v>173</v>
      </c>
      <c r="G68" s="438"/>
    </row>
    <row r="69" spans="1:7" ht="15.75" thickBot="1" x14ac:dyDescent="0.3">
      <c r="A69" s="406"/>
      <c r="B69" s="406"/>
      <c r="C69" s="222" t="s">
        <v>332</v>
      </c>
      <c r="D69" s="406"/>
      <c r="E69" s="182"/>
      <c r="F69" s="229" t="s">
        <v>174</v>
      </c>
      <c r="G69" s="438"/>
    </row>
    <row r="70" spans="1:7" ht="24.75" thickBot="1" x14ac:dyDescent="0.3">
      <c r="A70" s="406"/>
      <c r="B70" s="406"/>
      <c r="C70" s="222" t="s">
        <v>333</v>
      </c>
      <c r="D70" s="406"/>
      <c r="E70" s="182"/>
      <c r="F70" s="181" t="s">
        <v>171</v>
      </c>
      <c r="G70" s="438"/>
    </row>
    <row r="71" spans="1:7" ht="15.75" thickBot="1" x14ac:dyDescent="0.3">
      <c r="A71" s="406"/>
      <c r="B71" s="405"/>
      <c r="C71" s="223" t="s">
        <v>334</v>
      </c>
      <c r="D71" s="405"/>
      <c r="E71" s="182"/>
      <c r="F71" s="181" t="s">
        <v>172</v>
      </c>
      <c r="G71" s="439"/>
    </row>
    <row r="72" spans="1:7" ht="15.75" thickBot="1" x14ac:dyDescent="0.3">
      <c r="A72" s="406"/>
      <c r="B72" s="216" t="s">
        <v>105</v>
      </c>
      <c r="C72" s="218" t="s">
        <v>106</v>
      </c>
      <c r="D72" s="404"/>
      <c r="E72" s="176" t="s">
        <v>105</v>
      </c>
      <c r="F72" s="188" t="s">
        <v>106</v>
      </c>
      <c r="G72" s="422"/>
    </row>
    <row r="73" spans="1:7" ht="15.75" thickBot="1" x14ac:dyDescent="0.3">
      <c r="A73" s="406"/>
      <c r="B73" s="216" t="s">
        <v>108</v>
      </c>
      <c r="C73" s="218" t="s">
        <v>335</v>
      </c>
      <c r="D73" s="406"/>
      <c r="E73" s="176" t="s">
        <v>108</v>
      </c>
      <c r="F73" s="282" t="s">
        <v>109</v>
      </c>
      <c r="G73" s="423"/>
    </row>
    <row r="74" spans="1:7" ht="15.75" thickBot="1" x14ac:dyDescent="0.3">
      <c r="A74" s="406"/>
      <c r="B74" s="216" t="s">
        <v>110</v>
      </c>
      <c r="C74" s="218" t="s">
        <v>168</v>
      </c>
      <c r="D74" s="406"/>
      <c r="E74" s="176" t="s">
        <v>110</v>
      </c>
      <c r="F74" s="283" t="s">
        <v>168</v>
      </c>
      <c r="G74" s="423"/>
    </row>
    <row r="75" spans="1:7" ht="15.75" thickBot="1" x14ac:dyDescent="0.3">
      <c r="A75" s="406"/>
      <c r="B75" s="209" t="s">
        <v>111</v>
      </c>
      <c r="C75" s="211" t="s">
        <v>112</v>
      </c>
      <c r="D75" s="406"/>
      <c r="E75" s="209"/>
      <c r="F75" s="268"/>
      <c r="G75" s="423"/>
    </row>
    <row r="76" spans="1:7" ht="15.75" thickBot="1" x14ac:dyDescent="0.3">
      <c r="A76" s="406"/>
      <c r="B76" s="209"/>
      <c r="C76" s="211"/>
      <c r="D76" s="406"/>
      <c r="E76" s="183" t="s">
        <v>309</v>
      </c>
      <c r="F76" s="288" t="s">
        <v>343</v>
      </c>
      <c r="G76" s="423"/>
    </row>
    <row r="77" spans="1:7" ht="15.75" thickBot="1" x14ac:dyDescent="0.3">
      <c r="A77" s="406"/>
      <c r="B77" s="216" t="s">
        <v>113</v>
      </c>
      <c r="C77" s="218" t="s">
        <v>114</v>
      </c>
      <c r="D77" s="406"/>
      <c r="E77" s="176" t="s">
        <v>113</v>
      </c>
      <c r="F77" s="284" t="s">
        <v>114</v>
      </c>
      <c r="G77" s="423"/>
    </row>
    <row r="78" spans="1:7" ht="15.75" thickBot="1" x14ac:dyDescent="0.3">
      <c r="A78" s="406"/>
      <c r="B78" s="216" t="s">
        <v>117</v>
      </c>
      <c r="C78" s="218" t="s">
        <v>118</v>
      </c>
      <c r="D78" s="406"/>
      <c r="E78" s="176" t="s">
        <v>117</v>
      </c>
      <c r="F78" s="285" t="s">
        <v>118</v>
      </c>
      <c r="G78" s="423"/>
    </row>
    <row r="79" spans="1:7" ht="15.75" thickBot="1" x14ac:dyDescent="0.3">
      <c r="A79" s="405"/>
      <c r="B79" s="216" t="s">
        <v>115</v>
      </c>
      <c r="C79" s="224" t="s">
        <v>116</v>
      </c>
      <c r="D79" s="405"/>
      <c r="E79" s="176" t="s">
        <v>115</v>
      </c>
      <c r="F79" s="280" t="s">
        <v>116</v>
      </c>
      <c r="G79" s="424"/>
    </row>
    <row r="80" spans="1:7" ht="15.75" thickBot="1" x14ac:dyDescent="0.3">
      <c r="A80" s="212"/>
      <c r="B80" s="213"/>
      <c r="C80" s="214" t="s">
        <v>119</v>
      </c>
      <c r="D80" s="215">
        <v>21</v>
      </c>
      <c r="E80" s="259"/>
      <c r="F80" s="253" t="s">
        <v>119</v>
      </c>
      <c r="G80" s="254">
        <f>SUM(G55:G79)</f>
        <v>20</v>
      </c>
    </row>
    <row r="81" spans="1:8" ht="15.75" customHeight="1" thickBot="1" x14ac:dyDescent="0.3">
      <c r="A81" s="402" t="s">
        <v>120</v>
      </c>
      <c r="B81" s="403"/>
      <c r="C81" s="403"/>
      <c r="D81" s="403"/>
      <c r="E81" s="402" t="s">
        <v>120</v>
      </c>
      <c r="F81" s="403"/>
      <c r="G81" s="440"/>
      <c r="H81" s="403"/>
    </row>
    <row r="82" spans="1:8" ht="15.75" thickBot="1" x14ac:dyDescent="0.3">
      <c r="A82" s="208">
        <v>1</v>
      </c>
      <c r="B82" s="216" t="s">
        <v>121</v>
      </c>
      <c r="C82" s="217" t="s">
        <v>311</v>
      </c>
      <c r="D82" s="216">
        <v>3</v>
      </c>
      <c r="E82" s="176" t="s">
        <v>121</v>
      </c>
      <c r="F82" s="177" t="s">
        <v>311</v>
      </c>
      <c r="G82" s="176">
        <v>3</v>
      </c>
    </row>
    <row r="83" spans="1:8" ht="15.75" thickBot="1" x14ac:dyDescent="0.3">
      <c r="A83" s="208">
        <v>2</v>
      </c>
      <c r="B83" s="216" t="s">
        <v>123</v>
      </c>
      <c r="C83" s="217" t="s">
        <v>312</v>
      </c>
      <c r="D83" s="216">
        <v>3</v>
      </c>
      <c r="E83" s="176" t="s">
        <v>123</v>
      </c>
      <c r="F83" s="177" t="s">
        <v>312</v>
      </c>
      <c r="G83" s="176">
        <v>3</v>
      </c>
    </row>
    <row r="84" spans="1:8" ht="15.75" thickBot="1" x14ac:dyDescent="0.3">
      <c r="A84" s="208">
        <v>3</v>
      </c>
      <c r="B84" s="216" t="s">
        <v>125</v>
      </c>
      <c r="C84" s="217" t="s">
        <v>313</v>
      </c>
      <c r="D84" s="216">
        <v>3</v>
      </c>
      <c r="E84" s="176" t="s">
        <v>125</v>
      </c>
      <c r="F84" s="177" t="s">
        <v>313</v>
      </c>
      <c r="G84" s="176">
        <v>3</v>
      </c>
    </row>
    <row r="85" spans="1:8" ht="15.75" thickBot="1" x14ac:dyDescent="0.3">
      <c r="A85" s="208">
        <v>4</v>
      </c>
      <c r="B85" s="216" t="s">
        <v>336</v>
      </c>
      <c r="C85" s="218" t="s">
        <v>337</v>
      </c>
      <c r="D85" s="262">
        <v>3</v>
      </c>
      <c r="E85" s="240"/>
      <c r="F85" s="263"/>
      <c r="G85" s="170"/>
    </row>
    <row r="86" spans="1:8" ht="15.75" thickBot="1" x14ac:dyDescent="0.3">
      <c r="A86" s="208"/>
      <c r="B86" s="216"/>
      <c r="C86" s="217"/>
      <c r="D86" s="262"/>
      <c r="E86" s="176" t="s">
        <v>95</v>
      </c>
      <c r="F86" s="177" t="s">
        <v>314</v>
      </c>
      <c r="G86" s="176">
        <v>3</v>
      </c>
    </row>
    <row r="87" spans="1:8" ht="15.75" thickBot="1" x14ac:dyDescent="0.3">
      <c r="A87" s="208"/>
      <c r="B87" s="209"/>
      <c r="C87" s="287" t="s">
        <v>338</v>
      </c>
      <c r="D87" s="209">
        <v>5</v>
      </c>
      <c r="E87" s="182"/>
      <c r="F87" s="196" t="s">
        <v>129</v>
      </c>
      <c r="G87" s="269">
        <v>6</v>
      </c>
    </row>
    <row r="88" spans="1:8" ht="15.75" thickBot="1" x14ac:dyDescent="0.3">
      <c r="A88" s="219"/>
      <c r="B88" s="216" t="s">
        <v>131</v>
      </c>
      <c r="C88" s="218" t="s">
        <v>132</v>
      </c>
      <c r="D88" s="216">
        <v>2</v>
      </c>
      <c r="E88" s="176" t="s">
        <v>131</v>
      </c>
      <c r="F88" s="188" t="s">
        <v>132</v>
      </c>
      <c r="G88" s="176">
        <v>3</v>
      </c>
    </row>
    <row r="89" spans="1:8" ht="15.75" thickBot="1" x14ac:dyDescent="0.3">
      <c r="A89" s="219"/>
      <c r="B89" s="216" t="s">
        <v>133</v>
      </c>
      <c r="C89" s="211" t="s">
        <v>198</v>
      </c>
      <c r="D89" s="209">
        <v>3</v>
      </c>
      <c r="E89" s="176" t="s">
        <v>315</v>
      </c>
      <c r="F89" s="199" t="s">
        <v>185</v>
      </c>
      <c r="G89" s="185">
        <v>3</v>
      </c>
    </row>
    <row r="90" spans="1:8" ht="15.75" thickBot="1" x14ac:dyDescent="0.3">
      <c r="A90" s="219"/>
      <c r="B90" s="216" t="s">
        <v>135</v>
      </c>
      <c r="C90" s="218" t="s">
        <v>136</v>
      </c>
      <c r="D90" s="216">
        <v>2</v>
      </c>
      <c r="E90" s="176" t="s">
        <v>135</v>
      </c>
      <c r="F90" s="200" t="s">
        <v>136</v>
      </c>
      <c r="G90" s="176">
        <v>3</v>
      </c>
    </row>
    <row r="91" spans="1:8" ht="15.75" thickBot="1" x14ac:dyDescent="0.3">
      <c r="A91" s="219"/>
      <c r="B91" s="216" t="s">
        <v>137</v>
      </c>
      <c r="C91" s="218" t="s">
        <v>138</v>
      </c>
      <c r="D91" s="216">
        <v>3</v>
      </c>
      <c r="E91" s="176" t="s">
        <v>137</v>
      </c>
      <c r="F91" s="200" t="s">
        <v>138</v>
      </c>
      <c r="G91" s="176">
        <v>3</v>
      </c>
    </row>
    <row r="92" spans="1:8" ht="15.75" thickBot="1" x14ac:dyDescent="0.3">
      <c r="A92" s="219"/>
      <c r="B92" s="216" t="s">
        <v>139</v>
      </c>
      <c r="C92" s="218" t="s">
        <v>316</v>
      </c>
      <c r="D92" s="216">
        <v>2</v>
      </c>
      <c r="E92" s="176" t="s">
        <v>139</v>
      </c>
      <c r="F92" s="201" t="s">
        <v>316</v>
      </c>
      <c r="G92" s="176">
        <v>3</v>
      </c>
    </row>
    <row r="93" spans="1:8" ht="15.75" thickBot="1" x14ac:dyDescent="0.3">
      <c r="A93" s="219"/>
      <c r="B93" s="216" t="s">
        <v>141</v>
      </c>
      <c r="C93" s="218" t="s">
        <v>142</v>
      </c>
      <c r="D93" s="216">
        <v>3</v>
      </c>
      <c r="E93" s="176" t="s">
        <v>141</v>
      </c>
      <c r="F93" s="201" t="s">
        <v>142</v>
      </c>
      <c r="G93" s="176">
        <v>3</v>
      </c>
    </row>
    <row r="94" spans="1:8" ht="15.75" thickBot="1" x14ac:dyDescent="0.3">
      <c r="A94" s="219"/>
      <c r="B94" s="216" t="s">
        <v>143</v>
      </c>
      <c r="C94" s="218" t="s">
        <v>144</v>
      </c>
      <c r="D94" s="216">
        <v>2</v>
      </c>
      <c r="E94" s="176" t="s">
        <v>143</v>
      </c>
      <c r="F94" s="202" t="s">
        <v>144</v>
      </c>
      <c r="G94" s="176">
        <v>3</v>
      </c>
    </row>
    <row r="95" spans="1:8" ht="15.75" thickBot="1" x14ac:dyDescent="0.3">
      <c r="A95" s="219"/>
      <c r="B95" s="216" t="s">
        <v>145</v>
      </c>
      <c r="C95" s="218" t="s">
        <v>146</v>
      </c>
      <c r="D95" s="216">
        <v>3</v>
      </c>
      <c r="E95" s="176" t="s">
        <v>145</v>
      </c>
      <c r="F95" s="202" t="s">
        <v>146</v>
      </c>
      <c r="G95" s="176">
        <v>3</v>
      </c>
    </row>
    <row r="96" spans="1:8" ht="15.75" thickBot="1" x14ac:dyDescent="0.3">
      <c r="A96" s="219" t="s">
        <v>130</v>
      </c>
      <c r="B96" s="209" t="s">
        <v>147</v>
      </c>
      <c r="C96" s="211" t="s">
        <v>148</v>
      </c>
      <c r="D96" s="209">
        <v>2</v>
      </c>
      <c r="E96" s="183" t="s">
        <v>147</v>
      </c>
      <c r="F96" s="191" t="s">
        <v>148</v>
      </c>
      <c r="G96" s="183">
        <v>3</v>
      </c>
    </row>
    <row r="97" spans="1:8" ht="33" customHeight="1" thickBot="1" x14ac:dyDescent="0.3">
      <c r="A97" s="226"/>
      <c r="B97" s="209" t="s">
        <v>149</v>
      </c>
      <c r="C97" s="286" t="s">
        <v>150</v>
      </c>
      <c r="D97" s="233">
        <v>3</v>
      </c>
      <c r="E97" s="263"/>
      <c r="F97" s="263"/>
      <c r="G97" s="263"/>
    </row>
    <row r="98" spans="1:8" ht="15.75" thickBot="1" x14ac:dyDescent="0.3">
      <c r="A98" s="226"/>
      <c r="B98" s="209"/>
      <c r="C98" s="286"/>
      <c r="D98" s="209"/>
      <c r="E98" s="183" t="s">
        <v>111</v>
      </c>
      <c r="F98" s="191" t="s">
        <v>190</v>
      </c>
      <c r="G98" s="183">
        <v>3</v>
      </c>
    </row>
    <row r="99" spans="1:8" ht="15.75" thickBot="1" x14ac:dyDescent="0.3">
      <c r="A99" s="226"/>
      <c r="B99" s="216" t="s">
        <v>151</v>
      </c>
      <c r="C99" s="218" t="s">
        <v>152</v>
      </c>
      <c r="D99" s="216">
        <v>3</v>
      </c>
      <c r="E99" s="176" t="s">
        <v>151</v>
      </c>
      <c r="F99" s="192" t="s">
        <v>152</v>
      </c>
      <c r="G99" s="176">
        <v>3</v>
      </c>
    </row>
    <row r="100" spans="1:8" ht="15.75" thickBot="1" x14ac:dyDescent="0.3">
      <c r="A100" s="226"/>
      <c r="B100" s="216" t="s">
        <v>153</v>
      </c>
      <c r="C100" s="218" t="s">
        <v>154</v>
      </c>
      <c r="D100" s="216">
        <v>2</v>
      </c>
      <c r="E100" s="176" t="s">
        <v>153</v>
      </c>
      <c r="F100" s="192" t="s">
        <v>154</v>
      </c>
      <c r="G100" s="176">
        <v>3</v>
      </c>
    </row>
    <row r="101" spans="1:8" ht="15.75" thickBot="1" x14ac:dyDescent="0.3">
      <c r="A101" s="226"/>
      <c r="B101" s="216" t="s">
        <v>155</v>
      </c>
      <c r="C101" s="218" t="s">
        <v>156</v>
      </c>
      <c r="D101" s="216">
        <v>3</v>
      </c>
      <c r="E101" s="176" t="s">
        <v>155</v>
      </c>
      <c r="F101" s="193" t="s">
        <v>156</v>
      </c>
      <c r="G101" s="176">
        <v>3</v>
      </c>
    </row>
    <row r="102" spans="1:8" ht="15.75" thickBot="1" x14ac:dyDescent="0.3">
      <c r="A102" s="226"/>
      <c r="B102" s="216" t="s">
        <v>157</v>
      </c>
      <c r="C102" s="218" t="s">
        <v>158</v>
      </c>
      <c r="D102" s="216">
        <v>3</v>
      </c>
      <c r="E102" s="176" t="s">
        <v>157</v>
      </c>
      <c r="F102" s="193" t="s">
        <v>158</v>
      </c>
      <c r="G102" s="176">
        <v>3</v>
      </c>
    </row>
    <row r="103" spans="1:8" ht="15.75" thickBot="1" x14ac:dyDescent="0.3">
      <c r="A103" s="227"/>
      <c r="B103" s="216" t="s">
        <v>159</v>
      </c>
      <c r="C103" s="218" t="s">
        <v>160</v>
      </c>
      <c r="D103" s="216">
        <v>3</v>
      </c>
      <c r="E103" s="176" t="s">
        <v>159</v>
      </c>
      <c r="F103" s="280" t="s">
        <v>160</v>
      </c>
      <c r="G103" s="176">
        <v>3</v>
      </c>
    </row>
    <row r="104" spans="1:8" ht="15.75" customHeight="1" thickBot="1" x14ac:dyDescent="0.3">
      <c r="A104" s="270"/>
      <c r="B104" s="271"/>
      <c r="C104" s="272"/>
      <c r="D104" s="278">
        <v>17</v>
      </c>
      <c r="E104" s="241"/>
      <c r="F104" s="257"/>
      <c r="G104" s="279">
        <v>18</v>
      </c>
    </row>
    <row r="105" spans="1:8" ht="15.75" customHeight="1" thickBot="1" x14ac:dyDescent="0.3">
      <c r="A105" s="432" t="s">
        <v>193</v>
      </c>
      <c r="B105" s="433"/>
      <c r="C105" s="433"/>
      <c r="D105" s="434"/>
      <c r="E105" s="432" t="s">
        <v>193</v>
      </c>
      <c r="F105" s="433"/>
      <c r="G105" s="433"/>
      <c r="H105" s="434"/>
    </row>
    <row r="106" spans="1:8" ht="15.75" thickBot="1" x14ac:dyDescent="0.3">
      <c r="A106" s="435">
        <v>1</v>
      </c>
      <c r="B106" s="209"/>
      <c r="C106" s="211" t="s">
        <v>161</v>
      </c>
      <c r="D106" s="273">
        <v>6</v>
      </c>
      <c r="E106" s="209"/>
      <c r="F106" s="211" t="s">
        <v>161</v>
      </c>
      <c r="G106" s="273">
        <v>6</v>
      </c>
    </row>
    <row r="107" spans="1:8" ht="15.75" thickBot="1" x14ac:dyDescent="0.3">
      <c r="A107" s="436"/>
      <c r="B107" s="209"/>
      <c r="C107" s="211" t="s">
        <v>162</v>
      </c>
      <c r="D107" s="276">
        <v>6</v>
      </c>
      <c r="E107" s="209"/>
      <c r="F107" s="211" t="s">
        <v>162</v>
      </c>
      <c r="G107" s="276">
        <v>6</v>
      </c>
    </row>
    <row r="108" spans="1:8" ht="15.75" thickBot="1" x14ac:dyDescent="0.3">
      <c r="A108" s="274"/>
      <c r="B108" s="174"/>
      <c r="C108" s="174" t="s">
        <v>339</v>
      </c>
      <c r="D108" s="254">
        <v>147</v>
      </c>
      <c r="E108" s="274"/>
      <c r="F108" s="277" t="s">
        <v>339</v>
      </c>
      <c r="G108" s="254">
        <f>G106+G104+G80+G53+G43+G33+G23+G12</f>
        <v>149</v>
      </c>
      <c r="H108" s="275">
        <v>147</v>
      </c>
    </row>
  </sheetData>
  <mergeCells count="23">
    <mergeCell ref="E4:H4"/>
    <mergeCell ref="E13:H13"/>
    <mergeCell ref="E54:H54"/>
    <mergeCell ref="E44:H44"/>
    <mergeCell ref="E81:H81"/>
    <mergeCell ref="E105:H105"/>
    <mergeCell ref="E24:H24"/>
    <mergeCell ref="E34:H34"/>
    <mergeCell ref="A106:A107"/>
    <mergeCell ref="G72:G79"/>
    <mergeCell ref="G62:G71"/>
    <mergeCell ref="A105:D105"/>
    <mergeCell ref="A81:D81"/>
    <mergeCell ref="A62:A79"/>
    <mergeCell ref="B62:B71"/>
    <mergeCell ref="D62:D71"/>
    <mergeCell ref="D72:D79"/>
    <mergeCell ref="A54:D54"/>
    <mergeCell ref="A4:D4"/>
    <mergeCell ref="A13:D13"/>
    <mergeCell ref="A24:D24"/>
    <mergeCell ref="A34:D34"/>
    <mergeCell ref="A44:D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0"/>
  <sheetViews>
    <sheetView topLeftCell="A49" workbookViewId="0">
      <selection activeCell="C64" sqref="C64:D64"/>
    </sheetView>
  </sheetViews>
  <sheetFormatPr defaultRowHeight="15" x14ac:dyDescent="0.25"/>
  <cols>
    <col min="2" max="2" width="9.140625" style="1"/>
    <col min="3" max="3" width="15.140625" customWidth="1"/>
    <col min="4" max="4" width="55.140625" customWidth="1"/>
    <col min="5" max="5" width="9" customWidth="1"/>
    <col min="6" max="6" width="10.5703125" bestFit="1" customWidth="1"/>
    <col min="7" max="7" width="49.42578125" customWidth="1"/>
    <col min="8" max="8" width="19.5703125" customWidth="1"/>
    <col min="9" max="9" width="9.140625" hidden="1" customWidth="1"/>
  </cols>
  <sheetData>
    <row r="1" spans="2:8" ht="15.75" thickBot="1" x14ac:dyDescent="0.3">
      <c r="C1" t="s">
        <v>347</v>
      </c>
    </row>
    <row r="2" spans="2:8" ht="15.75" thickBot="1" x14ac:dyDescent="0.3">
      <c r="B2" s="332"/>
      <c r="C2" s="240"/>
      <c r="D2" s="331" t="s">
        <v>340</v>
      </c>
      <c r="E2" s="170"/>
      <c r="F2" s="240"/>
      <c r="G2" s="331" t="s">
        <v>319</v>
      </c>
      <c r="H2" s="170"/>
    </row>
    <row r="3" spans="2:8" ht="15.75" thickBot="1" x14ac:dyDescent="0.3">
      <c r="B3" s="254" t="s">
        <v>1</v>
      </c>
      <c r="C3" s="329" t="s">
        <v>2</v>
      </c>
      <c r="D3" s="330" t="s">
        <v>3</v>
      </c>
      <c r="E3" s="330" t="s">
        <v>4</v>
      </c>
      <c r="F3" s="330" t="s">
        <v>2</v>
      </c>
      <c r="G3" s="330" t="s">
        <v>3</v>
      </c>
      <c r="H3" s="330" t="s">
        <v>4</v>
      </c>
    </row>
    <row r="4" spans="2:8" ht="15.75" thickBot="1" x14ac:dyDescent="0.3">
      <c r="B4" s="332">
        <v>1</v>
      </c>
      <c r="C4" s="323" t="s">
        <v>7</v>
      </c>
      <c r="D4" s="303" t="s">
        <v>281</v>
      </c>
      <c r="E4" s="302">
        <v>3</v>
      </c>
      <c r="F4" s="304" t="s">
        <v>7</v>
      </c>
      <c r="G4" s="305" t="s">
        <v>281</v>
      </c>
      <c r="H4" s="304">
        <v>3</v>
      </c>
    </row>
    <row r="5" spans="2:8" ht="15.75" thickBot="1" x14ac:dyDescent="0.3">
      <c r="B5" s="333"/>
      <c r="C5" s="324"/>
      <c r="D5" s="297"/>
      <c r="E5" s="306"/>
      <c r="F5" s="307" t="s">
        <v>131</v>
      </c>
      <c r="G5" s="308" t="s">
        <v>128</v>
      </c>
      <c r="H5" s="309">
        <v>3</v>
      </c>
    </row>
    <row r="6" spans="2:8" ht="15.75" thickBot="1" x14ac:dyDescent="0.3">
      <c r="B6" s="333"/>
      <c r="C6" s="325" t="s">
        <v>10</v>
      </c>
      <c r="D6" s="211" t="s">
        <v>11</v>
      </c>
      <c r="E6" s="209">
        <v>3</v>
      </c>
      <c r="F6" s="176" t="s">
        <v>10</v>
      </c>
      <c r="G6" s="181" t="s">
        <v>11</v>
      </c>
      <c r="H6" s="176">
        <v>3</v>
      </c>
    </row>
    <row r="7" spans="2:8" ht="15.75" thickBot="1" x14ac:dyDescent="0.3">
      <c r="B7" s="333"/>
      <c r="C7" s="325" t="s">
        <v>12</v>
      </c>
      <c r="D7" s="211" t="s">
        <v>13</v>
      </c>
      <c r="E7" s="209">
        <v>3</v>
      </c>
      <c r="F7" s="176" t="s">
        <v>12</v>
      </c>
      <c r="G7" s="181" t="s">
        <v>13</v>
      </c>
      <c r="H7" s="176">
        <v>3</v>
      </c>
    </row>
    <row r="8" spans="2:8" ht="15.75" thickBot="1" x14ac:dyDescent="0.3">
      <c r="B8" s="333"/>
      <c r="C8" s="325" t="s">
        <v>14</v>
      </c>
      <c r="D8" s="210" t="s">
        <v>284</v>
      </c>
      <c r="E8" s="209">
        <v>2</v>
      </c>
      <c r="F8" s="176" t="s">
        <v>14</v>
      </c>
      <c r="G8" s="177" t="s">
        <v>284</v>
      </c>
      <c r="H8" s="176">
        <v>2</v>
      </c>
    </row>
    <row r="9" spans="2:8" ht="15.75" thickBot="1" x14ac:dyDescent="0.3">
      <c r="B9" s="333"/>
      <c r="C9" s="325" t="s">
        <v>17</v>
      </c>
      <c r="D9" s="211" t="s">
        <v>18</v>
      </c>
      <c r="E9" s="209">
        <v>3</v>
      </c>
      <c r="F9" s="176" t="s">
        <v>17</v>
      </c>
      <c r="G9" s="181" t="s">
        <v>18</v>
      </c>
      <c r="H9" s="176">
        <v>3</v>
      </c>
    </row>
    <row r="10" spans="2:8" ht="15.75" thickBot="1" x14ac:dyDescent="0.3">
      <c r="B10" s="333"/>
      <c r="C10" s="325" t="s">
        <v>19</v>
      </c>
      <c r="D10" s="211" t="s">
        <v>20</v>
      </c>
      <c r="E10" s="209">
        <v>2</v>
      </c>
      <c r="F10" s="176" t="s">
        <v>19</v>
      </c>
      <c r="G10" s="181" t="s">
        <v>20</v>
      </c>
      <c r="H10" s="176">
        <v>2</v>
      </c>
    </row>
    <row r="11" spans="2:8" ht="15.75" thickBot="1" x14ac:dyDescent="0.3">
      <c r="B11" s="333"/>
      <c r="C11" s="325" t="s">
        <v>22</v>
      </c>
      <c r="D11" s="210" t="s">
        <v>285</v>
      </c>
      <c r="E11" s="209">
        <v>3</v>
      </c>
      <c r="F11" s="176" t="s">
        <v>22</v>
      </c>
      <c r="G11" s="177" t="s">
        <v>285</v>
      </c>
      <c r="H11" s="176">
        <v>3</v>
      </c>
    </row>
    <row r="12" spans="2:8" ht="15.75" thickBot="1" x14ac:dyDescent="0.3">
      <c r="B12" s="333"/>
      <c r="C12" s="325" t="s">
        <v>25</v>
      </c>
      <c r="D12" s="211" t="s">
        <v>26</v>
      </c>
      <c r="E12" s="209">
        <v>2</v>
      </c>
      <c r="F12" s="176" t="s">
        <v>25</v>
      </c>
      <c r="G12" s="181" t="s">
        <v>26</v>
      </c>
      <c r="H12" s="176">
        <v>2</v>
      </c>
    </row>
    <row r="13" spans="2:8" ht="15.75" thickBot="1" x14ac:dyDescent="0.3">
      <c r="B13" s="333"/>
      <c r="C13" s="325" t="s">
        <v>27</v>
      </c>
      <c r="D13" s="210" t="s">
        <v>286</v>
      </c>
      <c r="E13" s="209">
        <v>3</v>
      </c>
      <c r="F13" s="176" t="s">
        <v>27</v>
      </c>
      <c r="G13" s="177" t="s">
        <v>286</v>
      </c>
      <c r="H13" s="176">
        <v>3</v>
      </c>
    </row>
    <row r="14" spans="2:8" ht="15.75" thickBot="1" x14ac:dyDescent="0.3">
      <c r="B14" s="333"/>
      <c r="C14" s="325" t="s">
        <v>29</v>
      </c>
      <c r="D14" s="211" t="s">
        <v>30</v>
      </c>
      <c r="E14" s="209">
        <v>2</v>
      </c>
      <c r="F14" s="183" t="s">
        <v>29</v>
      </c>
      <c r="G14" s="179" t="s">
        <v>30</v>
      </c>
      <c r="H14" s="183">
        <v>2</v>
      </c>
    </row>
    <row r="15" spans="2:8" ht="15.75" thickBot="1" x14ac:dyDescent="0.3">
      <c r="B15" s="333"/>
      <c r="C15" s="325" t="s">
        <v>31</v>
      </c>
      <c r="D15" s="210" t="s">
        <v>287</v>
      </c>
      <c r="E15" s="209">
        <v>2</v>
      </c>
      <c r="F15" s="183" t="s">
        <v>31</v>
      </c>
      <c r="G15" s="184" t="s">
        <v>287</v>
      </c>
      <c r="H15" s="183">
        <v>2</v>
      </c>
    </row>
    <row r="16" spans="2:8" ht="15.75" thickBot="1" x14ac:dyDescent="0.3">
      <c r="B16" s="333"/>
      <c r="C16" s="325" t="s">
        <v>33</v>
      </c>
      <c r="D16" s="211" t="s">
        <v>34</v>
      </c>
      <c r="E16" s="209">
        <v>2</v>
      </c>
      <c r="F16" s="176" t="s">
        <v>33</v>
      </c>
      <c r="G16" s="181" t="s">
        <v>34</v>
      </c>
      <c r="H16" s="176">
        <v>2</v>
      </c>
    </row>
    <row r="17" spans="2:8" ht="29.25" thickBot="1" x14ac:dyDescent="0.3">
      <c r="B17" s="333"/>
      <c r="C17" s="325" t="s">
        <v>35</v>
      </c>
      <c r="D17" s="210" t="s">
        <v>288</v>
      </c>
      <c r="E17" s="209">
        <v>2</v>
      </c>
      <c r="F17" s="176" t="s">
        <v>35</v>
      </c>
      <c r="G17" s="238" t="s">
        <v>288</v>
      </c>
      <c r="H17" s="176">
        <v>2</v>
      </c>
    </row>
    <row r="18" spans="2:8" ht="15.75" thickBot="1" x14ac:dyDescent="0.3">
      <c r="B18" s="333"/>
      <c r="C18" s="325" t="s">
        <v>37</v>
      </c>
      <c r="D18" s="211" t="s">
        <v>38</v>
      </c>
      <c r="E18" s="209">
        <v>2</v>
      </c>
      <c r="F18" s="176" t="s">
        <v>37</v>
      </c>
      <c r="G18" s="181" t="s">
        <v>38</v>
      </c>
      <c r="H18" s="176">
        <v>2</v>
      </c>
    </row>
    <row r="19" spans="2:8" ht="15.75" thickBot="1" x14ac:dyDescent="0.3">
      <c r="B19" s="333"/>
      <c r="C19" s="325" t="s">
        <v>39</v>
      </c>
      <c r="D19" s="211" t="s">
        <v>40</v>
      </c>
      <c r="E19" s="209">
        <v>3</v>
      </c>
      <c r="F19" s="235" t="s">
        <v>39</v>
      </c>
      <c r="G19" s="236" t="s">
        <v>40</v>
      </c>
      <c r="H19" s="235">
        <v>3</v>
      </c>
    </row>
    <row r="20" spans="2:8" ht="15.75" thickBot="1" x14ac:dyDescent="0.3">
      <c r="B20" s="333"/>
      <c r="C20" s="325" t="s">
        <v>42</v>
      </c>
      <c r="D20" s="211" t="s">
        <v>43</v>
      </c>
      <c r="E20" s="209">
        <v>3</v>
      </c>
      <c r="F20" s="176" t="s">
        <v>42</v>
      </c>
      <c r="G20" s="181" t="s">
        <v>43</v>
      </c>
      <c r="H20" s="176">
        <v>3</v>
      </c>
    </row>
    <row r="21" spans="2:8" ht="15.75" thickBot="1" x14ac:dyDescent="0.3">
      <c r="B21" s="333"/>
      <c r="C21" s="325" t="s">
        <v>45</v>
      </c>
      <c r="D21" s="210" t="s">
        <v>320</v>
      </c>
      <c r="E21" s="209">
        <v>3</v>
      </c>
      <c r="F21" s="176" t="s">
        <v>45</v>
      </c>
      <c r="G21" s="177" t="s">
        <v>289</v>
      </c>
      <c r="H21" s="176">
        <v>3</v>
      </c>
    </row>
    <row r="22" spans="2:8" ht="15.75" thickBot="1" x14ac:dyDescent="0.3">
      <c r="B22" s="333"/>
      <c r="C22" s="325" t="s">
        <v>47</v>
      </c>
      <c r="D22" s="211" t="s">
        <v>48</v>
      </c>
      <c r="E22" s="209">
        <v>2</v>
      </c>
      <c r="F22" s="176" t="s">
        <v>47</v>
      </c>
      <c r="G22" s="181" t="s">
        <v>48</v>
      </c>
      <c r="H22" s="176">
        <v>2</v>
      </c>
    </row>
    <row r="23" spans="2:8" ht="15.75" thickBot="1" x14ac:dyDescent="0.3">
      <c r="B23" s="333"/>
      <c r="C23" s="325" t="s">
        <v>49</v>
      </c>
      <c r="D23" s="211" t="s">
        <v>50</v>
      </c>
      <c r="E23" s="209">
        <v>3</v>
      </c>
      <c r="F23" s="176" t="s">
        <v>49</v>
      </c>
      <c r="G23" s="181" t="s">
        <v>50</v>
      </c>
      <c r="H23" s="176">
        <v>3</v>
      </c>
    </row>
    <row r="24" spans="2:8" ht="15.75" thickBot="1" x14ac:dyDescent="0.3">
      <c r="B24" s="333"/>
      <c r="C24" s="325" t="s">
        <v>51</v>
      </c>
      <c r="D24" s="211" t="s">
        <v>290</v>
      </c>
      <c r="E24" s="209">
        <v>3</v>
      </c>
      <c r="F24" s="183" t="s">
        <v>51</v>
      </c>
      <c r="G24" s="179" t="s">
        <v>290</v>
      </c>
      <c r="H24" s="183">
        <v>3</v>
      </c>
    </row>
    <row r="25" spans="2:8" ht="15.75" thickBot="1" x14ac:dyDescent="0.3">
      <c r="B25" s="333"/>
      <c r="C25" s="325" t="s">
        <v>53</v>
      </c>
      <c r="D25" s="211" t="s">
        <v>54</v>
      </c>
      <c r="E25" s="209">
        <v>2</v>
      </c>
      <c r="F25" s="176" t="s">
        <v>53</v>
      </c>
      <c r="G25" s="181" t="s">
        <v>54</v>
      </c>
      <c r="H25" s="176">
        <v>2</v>
      </c>
    </row>
    <row r="26" spans="2:8" ht="15.75" thickBot="1" x14ac:dyDescent="0.3">
      <c r="B26" s="333"/>
      <c r="C26" s="325" t="s">
        <v>55</v>
      </c>
      <c r="D26" s="210" t="s">
        <v>291</v>
      </c>
      <c r="E26" s="209">
        <v>3</v>
      </c>
      <c r="F26" s="176" t="s">
        <v>55</v>
      </c>
      <c r="G26" s="238" t="s">
        <v>291</v>
      </c>
      <c r="H26" s="176">
        <v>3</v>
      </c>
    </row>
    <row r="27" spans="2:8" ht="15.75" thickBot="1" x14ac:dyDescent="0.3">
      <c r="B27" s="333"/>
      <c r="C27" s="325" t="s">
        <v>57</v>
      </c>
      <c r="D27" s="211" t="s">
        <v>58</v>
      </c>
      <c r="E27" s="209">
        <v>2</v>
      </c>
      <c r="F27" s="176" t="s">
        <v>57</v>
      </c>
      <c r="G27" s="181" t="s">
        <v>58</v>
      </c>
      <c r="H27" s="176">
        <v>2</v>
      </c>
    </row>
    <row r="28" spans="2:8" ht="15.75" thickBot="1" x14ac:dyDescent="0.3">
      <c r="B28" s="333"/>
      <c r="C28" s="326" t="s">
        <v>60</v>
      </c>
      <c r="D28" s="217" t="s">
        <v>292</v>
      </c>
      <c r="E28" s="216">
        <v>3</v>
      </c>
      <c r="F28" s="176" t="s">
        <v>60</v>
      </c>
      <c r="G28" s="177" t="s">
        <v>292</v>
      </c>
      <c r="H28" s="176">
        <v>3</v>
      </c>
    </row>
    <row r="29" spans="2:8" ht="15.75" thickBot="1" x14ac:dyDescent="0.3">
      <c r="B29" s="333"/>
      <c r="C29" s="326" t="s">
        <v>62</v>
      </c>
      <c r="D29" s="217" t="s">
        <v>293</v>
      </c>
      <c r="E29" s="216">
        <v>3</v>
      </c>
      <c r="F29" s="176" t="s">
        <v>62</v>
      </c>
      <c r="G29" s="177" t="s">
        <v>293</v>
      </c>
      <c r="H29" s="176">
        <v>3</v>
      </c>
    </row>
    <row r="30" spans="2:8" ht="15.75" thickBot="1" x14ac:dyDescent="0.3">
      <c r="B30" s="333"/>
      <c r="C30" s="326" t="s">
        <v>64</v>
      </c>
      <c r="D30" s="217" t="s">
        <v>294</v>
      </c>
      <c r="E30" s="216">
        <v>3</v>
      </c>
      <c r="F30" s="176" t="s">
        <v>64</v>
      </c>
      <c r="G30" s="177" t="s">
        <v>294</v>
      </c>
      <c r="H30" s="176">
        <v>3</v>
      </c>
    </row>
    <row r="31" spans="2:8" ht="15.75" thickBot="1" x14ac:dyDescent="0.3">
      <c r="B31" s="333"/>
      <c r="C31" s="326" t="s">
        <v>66</v>
      </c>
      <c r="D31" s="218" t="s">
        <v>182</v>
      </c>
      <c r="E31" s="216">
        <v>2</v>
      </c>
      <c r="F31" s="176" t="s">
        <v>66</v>
      </c>
      <c r="G31" s="181" t="s">
        <v>182</v>
      </c>
      <c r="H31" s="176">
        <v>2</v>
      </c>
    </row>
    <row r="32" spans="2:8" ht="15.75" thickBot="1" x14ac:dyDescent="0.3">
      <c r="B32" s="333"/>
      <c r="C32" s="326" t="s">
        <v>67</v>
      </c>
      <c r="D32" s="218" t="s">
        <v>68</v>
      </c>
      <c r="E32" s="216">
        <v>3</v>
      </c>
      <c r="F32" s="176" t="s">
        <v>67</v>
      </c>
      <c r="G32" s="181" t="s">
        <v>68</v>
      </c>
      <c r="H32" s="176">
        <v>3</v>
      </c>
    </row>
    <row r="33" spans="2:8" ht="15.75" thickBot="1" x14ac:dyDescent="0.3">
      <c r="B33" s="333"/>
      <c r="C33" s="326" t="s">
        <v>69</v>
      </c>
      <c r="D33" s="218" t="s">
        <v>70</v>
      </c>
      <c r="E33" s="216">
        <v>3</v>
      </c>
      <c r="F33" s="176" t="s">
        <v>69</v>
      </c>
      <c r="G33" s="181" t="s">
        <v>70</v>
      </c>
      <c r="H33" s="176">
        <v>3</v>
      </c>
    </row>
    <row r="34" spans="2:8" ht="15.75" thickBot="1" x14ac:dyDescent="0.3">
      <c r="B34" s="333"/>
      <c r="C34" s="325" t="s">
        <v>71</v>
      </c>
      <c r="D34" s="211" t="s">
        <v>296</v>
      </c>
      <c r="E34" s="209">
        <v>3</v>
      </c>
      <c r="F34" s="183" t="s">
        <v>295</v>
      </c>
      <c r="G34" s="179" t="s">
        <v>296</v>
      </c>
      <c r="H34" s="183">
        <v>3</v>
      </c>
    </row>
    <row r="35" spans="2:8" ht="15.75" thickBot="1" x14ac:dyDescent="0.3">
      <c r="B35" s="333"/>
      <c r="C35" s="326" t="s">
        <v>72</v>
      </c>
      <c r="D35" s="218" t="s">
        <v>73</v>
      </c>
      <c r="E35" s="216">
        <v>2</v>
      </c>
      <c r="F35" s="176" t="s">
        <v>72</v>
      </c>
      <c r="G35" s="181" t="s">
        <v>73</v>
      </c>
      <c r="H35" s="176">
        <v>2</v>
      </c>
    </row>
    <row r="36" spans="2:8" ht="15.75" thickBot="1" x14ac:dyDescent="0.3">
      <c r="B36" s="254">
        <v>2</v>
      </c>
      <c r="C36" s="327" t="s">
        <v>75</v>
      </c>
      <c r="D36" s="299" t="s">
        <v>321</v>
      </c>
      <c r="E36" s="296">
        <v>2</v>
      </c>
      <c r="F36" s="293" t="s">
        <v>298</v>
      </c>
      <c r="G36" s="300" t="s">
        <v>184</v>
      </c>
      <c r="H36" s="301">
        <v>2</v>
      </c>
    </row>
    <row r="37" spans="2:8" ht="15.75" thickBot="1" x14ac:dyDescent="0.3">
      <c r="B37" s="333"/>
      <c r="C37" s="326" t="s">
        <v>77</v>
      </c>
      <c r="D37" s="218" t="s">
        <v>322</v>
      </c>
      <c r="E37" s="216">
        <v>3</v>
      </c>
      <c r="F37" s="176" t="s">
        <v>77</v>
      </c>
      <c r="G37" s="181" t="s">
        <v>300</v>
      </c>
      <c r="H37" s="176">
        <v>3</v>
      </c>
    </row>
    <row r="38" spans="2:8" ht="15.75" thickBot="1" x14ac:dyDescent="0.3">
      <c r="B38" s="333"/>
      <c r="C38" s="326" t="s">
        <v>79</v>
      </c>
      <c r="D38" s="218" t="s">
        <v>80</v>
      </c>
      <c r="E38" s="216">
        <v>3</v>
      </c>
      <c r="F38" s="176" t="s">
        <v>79</v>
      </c>
      <c r="G38" s="181" t="s">
        <v>80</v>
      </c>
      <c r="H38" s="176">
        <v>3</v>
      </c>
    </row>
    <row r="39" spans="2:8" ht="15.75" thickBot="1" x14ac:dyDescent="0.3">
      <c r="B39" s="333"/>
      <c r="C39" s="326" t="s">
        <v>81</v>
      </c>
      <c r="D39" s="217" t="s">
        <v>301</v>
      </c>
      <c r="E39" s="216">
        <v>3</v>
      </c>
      <c r="F39" s="176" t="s">
        <v>81</v>
      </c>
      <c r="G39" s="177" t="s">
        <v>301</v>
      </c>
      <c r="H39" s="176">
        <v>3</v>
      </c>
    </row>
    <row r="40" spans="2:8" ht="15.75" thickBot="1" x14ac:dyDescent="0.3">
      <c r="B40" s="333"/>
      <c r="C40" s="326" t="s">
        <v>83</v>
      </c>
      <c r="D40" s="217" t="s">
        <v>302</v>
      </c>
      <c r="E40" s="216">
        <v>3</v>
      </c>
      <c r="F40" s="176" t="s">
        <v>83</v>
      </c>
      <c r="G40" s="177" t="s">
        <v>302</v>
      </c>
      <c r="H40" s="176">
        <v>3</v>
      </c>
    </row>
    <row r="41" spans="2:8" ht="15.75" thickBot="1" x14ac:dyDescent="0.3">
      <c r="B41" s="333"/>
      <c r="C41" s="326" t="s">
        <v>85</v>
      </c>
      <c r="D41" s="218" t="s">
        <v>86</v>
      </c>
      <c r="E41" s="216">
        <v>2</v>
      </c>
      <c r="F41" s="176" t="s">
        <v>85</v>
      </c>
      <c r="G41" s="181" t="s">
        <v>86</v>
      </c>
      <c r="H41" s="176">
        <v>2</v>
      </c>
    </row>
    <row r="42" spans="2:8" ht="15.75" thickBot="1" x14ac:dyDescent="0.3">
      <c r="B42" s="254">
        <v>3</v>
      </c>
      <c r="C42" s="324" t="s">
        <v>323</v>
      </c>
      <c r="D42" s="297" t="s">
        <v>324</v>
      </c>
      <c r="E42" s="296">
        <v>3</v>
      </c>
      <c r="F42" s="293" t="s">
        <v>87</v>
      </c>
      <c r="G42" s="294" t="s">
        <v>304</v>
      </c>
      <c r="H42" s="298">
        <v>3</v>
      </c>
    </row>
    <row r="43" spans="2:8" ht="15.75" thickBot="1" x14ac:dyDescent="0.3">
      <c r="B43" s="333"/>
      <c r="C43" s="326" t="s">
        <v>88</v>
      </c>
      <c r="D43" s="218" t="s">
        <v>89</v>
      </c>
      <c r="E43" s="216">
        <v>3</v>
      </c>
      <c r="F43" s="251" t="s">
        <v>88</v>
      </c>
      <c r="G43" s="252" t="s">
        <v>89</v>
      </c>
      <c r="H43" s="251">
        <v>3</v>
      </c>
    </row>
    <row r="44" spans="2:8" ht="15.75" thickBot="1" x14ac:dyDescent="0.3">
      <c r="B44" s="333"/>
      <c r="C44" s="326" t="s">
        <v>91</v>
      </c>
      <c r="D44" s="218" t="s">
        <v>92</v>
      </c>
      <c r="E44" s="216">
        <v>3</v>
      </c>
      <c r="F44" s="176" t="s">
        <v>91</v>
      </c>
      <c r="G44" s="181" t="s">
        <v>92</v>
      </c>
      <c r="H44" s="176">
        <v>3</v>
      </c>
    </row>
    <row r="45" spans="2:8" ht="15.75" thickBot="1" x14ac:dyDescent="0.3">
      <c r="B45" s="333"/>
      <c r="C45" s="326" t="s">
        <v>93</v>
      </c>
      <c r="D45" s="217" t="s">
        <v>305</v>
      </c>
      <c r="E45" s="216">
        <v>3</v>
      </c>
      <c r="F45" s="176" t="s">
        <v>93</v>
      </c>
      <c r="G45" s="177" t="s">
        <v>305</v>
      </c>
      <c r="H45" s="176">
        <v>3</v>
      </c>
    </row>
    <row r="46" spans="2:8" ht="15.75" thickBot="1" x14ac:dyDescent="0.3">
      <c r="B46" s="254">
        <v>4</v>
      </c>
      <c r="C46" s="327" t="s">
        <v>336</v>
      </c>
      <c r="D46" s="291" t="s">
        <v>337</v>
      </c>
      <c r="E46" s="292">
        <v>3</v>
      </c>
      <c r="F46" s="293" t="s">
        <v>341</v>
      </c>
      <c r="G46" s="294" t="s">
        <v>271</v>
      </c>
      <c r="H46" s="295">
        <v>2</v>
      </c>
    </row>
    <row r="47" spans="2:8" ht="15.75" thickBot="1" x14ac:dyDescent="0.3">
      <c r="B47" s="333"/>
      <c r="C47" s="326" t="s">
        <v>325</v>
      </c>
      <c r="D47" s="217" t="s">
        <v>314</v>
      </c>
      <c r="E47" s="216">
        <v>3</v>
      </c>
      <c r="F47" s="176" t="s">
        <v>95</v>
      </c>
      <c r="G47" s="177" t="s">
        <v>314</v>
      </c>
      <c r="H47" s="176">
        <v>3</v>
      </c>
    </row>
    <row r="48" spans="2:8" ht="15.75" thickBot="1" x14ac:dyDescent="0.3">
      <c r="B48" s="333"/>
      <c r="C48" s="326" t="s">
        <v>97</v>
      </c>
      <c r="D48" s="217" t="s">
        <v>306</v>
      </c>
      <c r="E48" s="216">
        <v>3</v>
      </c>
      <c r="F48" s="176" t="s">
        <v>97</v>
      </c>
      <c r="G48" s="177" t="s">
        <v>306</v>
      </c>
      <c r="H48" s="176">
        <v>3</v>
      </c>
    </row>
    <row r="49" spans="2:8" ht="15.75" thickBot="1" x14ac:dyDescent="0.3">
      <c r="B49" s="333"/>
      <c r="C49" s="326" t="s">
        <v>99</v>
      </c>
      <c r="D49" s="217" t="s">
        <v>307</v>
      </c>
      <c r="E49" s="216">
        <v>3</v>
      </c>
      <c r="F49" s="176" t="s">
        <v>99</v>
      </c>
      <c r="G49" s="238" t="s">
        <v>307</v>
      </c>
      <c r="H49" s="176">
        <v>3</v>
      </c>
    </row>
    <row r="50" spans="2:8" ht="15.75" thickBot="1" x14ac:dyDescent="0.3">
      <c r="B50" s="333"/>
      <c r="C50" s="326" t="s">
        <v>101</v>
      </c>
      <c r="D50" s="217" t="s">
        <v>308</v>
      </c>
      <c r="E50" s="216">
        <v>3</v>
      </c>
      <c r="F50" s="176" t="s">
        <v>101</v>
      </c>
      <c r="G50" s="177" t="s">
        <v>308</v>
      </c>
      <c r="H50" s="176">
        <v>3</v>
      </c>
    </row>
    <row r="51" spans="2:8" ht="15.75" thickBot="1" x14ac:dyDescent="0.3">
      <c r="B51" s="333"/>
      <c r="C51" s="326" t="s">
        <v>105</v>
      </c>
      <c r="D51" s="218" t="s">
        <v>106</v>
      </c>
      <c r="E51" s="310">
        <v>3</v>
      </c>
      <c r="F51" s="176" t="s">
        <v>105</v>
      </c>
      <c r="G51" s="252" t="s">
        <v>106</v>
      </c>
      <c r="H51" s="230">
        <v>3</v>
      </c>
    </row>
    <row r="52" spans="2:8" ht="15.75" thickBot="1" x14ac:dyDescent="0.3">
      <c r="B52" s="333"/>
      <c r="C52" s="326" t="s">
        <v>108</v>
      </c>
      <c r="D52" s="218" t="s">
        <v>335</v>
      </c>
      <c r="E52" s="311">
        <v>3</v>
      </c>
      <c r="F52" s="176" t="s">
        <v>108</v>
      </c>
      <c r="G52" s="252" t="s">
        <v>109</v>
      </c>
      <c r="H52" s="197">
        <v>3</v>
      </c>
    </row>
    <row r="53" spans="2:8" ht="15.75" thickBot="1" x14ac:dyDescent="0.3">
      <c r="B53" s="333"/>
      <c r="C53" s="326" t="s">
        <v>110</v>
      </c>
      <c r="D53" s="218" t="s">
        <v>168</v>
      </c>
      <c r="E53" s="311">
        <v>3</v>
      </c>
      <c r="F53" s="176" t="s">
        <v>110</v>
      </c>
      <c r="G53" s="252" t="s">
        <v>168</v>
      </c>
      <c r="H53" s="197">
        <v>3</v>
      </c>
    </row>
    <row r="54" spans="2:8" ht="15.75" thickBot="1" x14ac:dyDescent="0.3">
      <c r="B54" s="333"/>
      <c r="C54" s="325" t="s">
        <v>111</v>
      </c>
      <c r="D54" s="211" t="s">
        <v>112</v>
      </c>
      <c r="E54" s="311">
        <v>3</v>
      </c>
      <c r="F54" s="183" t="s">
        <v>111</v>
      </c>
      <c r="G54" s="261" t="s">
        <v>190</v>
      </c>
      <c r="H54" s="183">
        <v>3</v>
      </c>
    </row>
    <row r="55" spans="2:8" ht="15.75" thickBot="1" x14ac:dyDescent="0.3">
      <c r="B55" s="254">
        <v>5</v>
      </c>
      <c r="C55" s="324" t="s">
        <v>149</v>
      </c>
      <c r="D55" s="313" t="s">
        <v>150</v>
      </c>
      <c r="E55" s="314">
        <v>3</v>
      </c>
      <c r="F55" s="298" t="s">
        <v>309</v>
      </c>
      <c r="G55" s="315" t="s">
        <v>343</v>
      </c>
      <c r="H55" s="316">
        <v>3</v>
      </c>
    </row>
    <row r="56" spans="2:8" ht="15.75" thickBot="1" x14ac:dyDescent="0.3">
      <c r="B56" s="333"/>
      <c r="C56" s="326" t="s">
        <v>113</v>
      </c>
      <c r="D56" s="218" t="s">
        <v>114</v>
      </c>
      <c r="E56" s="311">
        <v>3</v>
      </c>
      <c r="F56" s="176" t="s">
        <v>113</v>
      </c>
      <c r="G56" s="252" t="s">
        <v>114</v>
      </c>
      <c r="H56" s="197">
        <v>3</v>
      </c>
    </row>
    <row r="57" spans="2:8" ht="15.75" thickBot="1" x14ac:dyDescent="0.3">
      <c r="B57" s="333"/>
      <c r="C57" s="326" t="s">
        <v>117</v>
      </c>
      <c r="D57" s="218" t="s">
        <v>118</v>
      </c>
      <c r="E57" s="311">
        <v>3</v>
      </c>
      <c r="F57" s="176" t="s">
        <v>117</v>
      </c>
      <c r="G57" s="252" t="s">
        <v>118</v>
      </c>
      <c r="H57" s="197">
        <v>3</v>
      </c>
    </row>
    <row r="58" spans="2:8" ht="15.75" thickBot="1" x14ac:dyDescent="0.3">
      <c r="B58" s="333"/>
      <c r="C58" s="326" t="s">
        <v>115</v>
      </c>
      <c r="D58" s="224" t="s">
        <v>116</v>
      </c>
      <c r="E58" s="312">
        <v>3</v>
      </c>
      <c r="F58" s="176" t="s">
        <v>115</v>
      </c>
      <c r="G58" s="252" t="s">
        <v>116</v>
      </c>
      <c r="H58" s="175">
        <v>3</v>
      </c>
    </row>
    <row r="59" spans="2:8" ht="15.75" thickBot="1" x14ac:dyDescent="0.3">
      <c r="B59" s="333"/>
      <c r="C59" s="326" t="s">
        <v>121</v>
      </c>
      <c r="D59" s="217" t="s">
        <v>311</v>
      </c>
      <c r="E59" s="216">
        <v>3</v>
      </c>
      <c r="F59" s="176" t="s">
        <v>121</v>
      </c>
      <c r="G59" s="177" t="s">
        <v>311</v>
      </c>
      <c r="H59" s="176">
        <v>3</v>
      </c>
    </row>
    <row r="60" spans="2:8" ht="15.75" thickBot="1" x14ac:dyDescent="0.3">
      <c r="B60" s="333"/>
      <c r="C60" s="326" t="s">
        <v>123</v>
      </c>
      <c r="D60" s="217" t="s">
        <v>312</v>
      </c>
      <c r="E60" s="216">
        <v>3</v>
      </c>
      <c r="F60" s="176" t="s">
        <v>123</v>
      </c>
      <c r="G60" s="177" t="s">
        <v>312</v>
      </c>
      <c r="H60" s="176">
        <v>3</v>
      </c>
    </row>
    <row r="61" spans="2:8" ht="15.75" thickBot="1" x14ac:dyDescent="0.3">
      <c r="B61" s="333"/>
      <c r="C61" s="326" t="s">
        <v>125</v>
      </c>
      <c r="D61" s="217" t="s">
        <v>313</v>
      </c>
      <c r="E61" s="216">
        <v>3</v>
      </c>
      <c r="F61" s="176" t="s">
        <v>125</v>
      </c>
      <c r="G61" s="177" t="s">
        <v>313</v>
      </c>
      <c r="H61" s="176">
        <v>3</v>
      </c>
    </row>
    <row r="62" spans="2:8" ht="15.75" thickBot="1" x14ac:dyDescent="0.3">
      <c r="B62" s="333"/>
      <c r="C62" s="326"/>
      <c r="D62" s="217"/>
      <c r="E62" s="216"/>
      <c r="F62" s="176"/>
      <c r="G62" s="177"/>
      <c r="H62" s="176"/>
    </row>
    <row r="63" spans="2:8" ht="15.75" thickBot="1" x14ac:dyDescent="0.3">
      <c r="B63" s="333"/>
      <c r="C63" s="328"/>
      <c r="D63" s="319" t="s">
        <v>338</v>
      </c>
      <c r="E63" s="318">
        <v>5</v>
      </c>
      <c r="F63" s="320"/>
      <c r="G63" s="321" t="s">
        <v>129</v>
      </c>
      <c r="H63" s="322">
        <v>6</v>
      </c>
    </row>
    <row r="64" spans="2:8" ht="15.75" thickBot="1" x14ac:dyDescent="0.3">
      <c r="B64" s="254">
        <v>6</v>
      </c>
      <c r="C64" s="327" t="s">
        <v>131</v>
      </c>
      <c r="D64" s="291" t="s">
        <v>132</v>
      </c>
      <c r="E64" s="290">
        <v>2</v>
      </c>
      <c r="F64" s="304" t="s">
        <v>344</v>
      </c>
      <c r="G64" s="281" t="s">
        <v>132</v>
      </c>
      <c r="H64" s="304">
        <v>3</v>
      </c>
    </row>
    <row r="65" spans="2:9" ht="15.75" thickBot="1" x14ac:dyDescent="0.3">
      <c r="B65" s="254">
        <v>7</v>
      </c>
      <c r="C65" s="327" t="s">
        <v>133</v>
      </c>
      <c r="D65" s="299" t="s">
        <v>198</v>
      </c>
      <c r="E65" s="296">
        <v>3</v>
      </c>
      <c r="F65" s="304" t="s">
        <v>315</v>
      </c>
      <c r="G65" s="300" t="s">
        <v>185</v>
      </c>
      <c r="H65" s="301">
        <v>3</v>
      </c>
    </row>
    <row r="66" spans="2:9" ht="15.75" thickBot="1" x14ac:dyDescent="0.3">
      <c r="B66" s="254">
        <v>8</v>
      </c>
      <c r="C66" s="327" t="s">
        <v>135</v>
      </c>
      <c r="D66" s="291" t="s">
        <v>136</v>
      </c>
      <c r="E66" s="290">
        <v>2</v>
      </c>
      <c r="F66" s="304" t="s">
        <v>345</v>
      </c>
      <c r="G66" s="281" t="s">
        <v>136</v>
      </c>
      <c r="H66" s="304">
        <v>3</v>
      </c>
    </row>
    <row r="67" spans="2:9" ht="15.75" thickBot="1" x14ac:dyDescent="0.3">
      <c r="B67" s="333"/>
      <c r="C67" s="326" t="s">
        <v>137</v>
      </c>
      <c r="D67" s="218" t="s">
        <v>138</v>
      </c>
      <c r="E67" s="216">
        <v>3</v>
      </c>
      <c r="F67" s="176" t="s">
        <v>137</v>
      </c>
      <c r="G67" s="252" t="s">
        <v>138</v>
      </c>
      <c r="H67" s="176">
        <v>3</v>
      </c>
    </row>
    <row r="68" spans="2:9" ht="15.75" thickBot="1" x14ac:dyDescent="0.3">
      <c r="B68" s="254">
        <v>9</v>
      </c>
      <c r="C68" s="327" t="s">
        <v>139</v>
      </c>
      <c r="D68" s="291" t="s">
        <v>316</v>
      </c>
      <c r="E68" s="290">
        <v>2</v>
      </c>
      <c r="F68" s="304" t="s">
        <v>110</v>
      </c>
      <c r="G68" s="281" t="s">
        <v>316</v>
      </c>
      <c r="H68" s="304">
        <v>3</v>
      </c>
    </row>
    <row r="69" spans="2:9" ht="15.75" thickBot="1" x14ac:dyDescent="0.3">
      <c r="B69" s="333"/>
      <c r="C69" s="326" t="s">
        <v>141</v>
      </c>
      <c r="D69" s="218" t="s">
        <v>142</v>
      </c>
      <c r="E69" s="216">
        <v>3</v>
      </c>
      <c r="F69" s="176" t="s">
        <v>141</v>
      </c>
      <c r="G69" s="252" t="s">
        <v>142</v>
      </c>
      <c r="H69" s="176">
        <v>3</v>
      </c>
    </row>
    <row r="70" spans="2:9" ht="15.75" thickBot="1" x14ac:dyDescent="0.3">
      <c r="B70" s="254">
        <v>10</v>
      </c>
      <c r="C70" s="327" t="s">
        <v>143</v>
      </c>
      <c r="D70" s="291" t="s">
        <v>144</v>
      </c>
      <c r="E70" s="290">
        <v>2</v>
      </c>
      <c r="F70" s="304" t="s">
        <v>346</v>
      </c>
      <c r="G70" s="281" t="s">
        <v>144</v>
      </c>
      <c r="H70" s="304">
        <v>3</v>
      </c>
    </row>
    <row r="71" spans="2:9" ht="15.75" thickBot="1" x14ac:dyDescent="0.3">
      <c r="B71" s="333"/>
      <c r="C71" s="326" t="s">
        <v>145</v>
      </c>
      <c r="D71" s="218" t="s">
        <v>146</v>
      </c>
      <c r="E71" s="216">
        <v>3</v>
      </c>
      <c r="F71" s="176" t="s">
        <v>145</v>
      </c>
      <c r="G71" s="252" t="s">
        <v>146</v>
      </c>
      <c r="H71" s="176">
        <v>3</v>
      </c>
    </row>
    <row r="72" spans="2:9" ht="15.75" thickBot="1" x14ac:dyDescent="0.3">
      <c r="B72" s="254">
        <v>11</v>
      </c>
      <c r="C72" s="324" t="s">
        <v>147</v>
      </c>
      <c r="D72" s="299" t="s">
        <v>148</v>
      </c>
      <c r="E72" s="296">
        <v>2</v>
      </c>
      <c r="F72" s="298" t="s">
        <v>149</v>
      </c>
      <c r="G72" s="317" t="s">
        <v>148</v>
      </c>
      <c r="H72" s="298">
        <v>3</v>
      </c>
    </row>
    <row r="73" spans="2:9" ht="15.75" thickBot="1" x14ac:dyDescent="0.3">
      <c r="B73" s="333"/>
      <c r="C73" s="326" t="s">
        <v>151</v>
      </c>
      <c r="D73" s="218" t="s">
        <v>152</v>
      </c>
      <c r="E73" s="216">
        <v>3</v>
      </c>
      <c r="F73" s="176" t="s">
        <v>151</v>
      </c>
      <c r="G73" s="252" t="s">
        <v>152</v>
      </c>
      <c r="H73" s="176">
        <v>3</v>
      </c>
    </row>
    <row r="74" spans="2:9" ht="15.75" thickBot="1" x14ac:dyDescent="0.3">
      <c r="B74" s="254">
        <v>12</v>
      </c>
      <c r="C74" s="327" t="s">
        <v>153</v>
      </c>
      <c r="D74" s="291" t="s">
        <v>154</v>
      </c>
      <c r="E74" s="290">
        <v>2</v>
      </c>
      <c r="F74" s="304" t="s">
        <v>157</v>
      </c>
      <c r="G74" s="281" t="s">
        <v>154</v>
      </c>
      <c r="H74" s="304">
        <v>3</v>
      </c>
    </row>
    <row r="75" spans="2:9" ht="15.75" thickBot="1" x14ac:dyDescent="0.3">
      <c r="B75" s="333"/>
      <c r="C75" s="326" t="s">
        <v>155</v>
      </c>
      <c r="D75" s="218" t="s">
        <v>156</v>
      </c>
      <c r="E75" s="216">
        <v>3</v>
      </c>
      <c r="F75" s="176" t="s">
        <v>155</v>
      </c>
      <c r="G75" s="252" t="s">
        <v>156</v>
      </c>
      <c r="H75" s="176">
        <v>3</v>
      </c>
    </row>
    <row r="76" spans="2:9" ht="15.75" thickBot="1" x14ac:dyDescent="0.3">
      <c r="B76" s="333"/>
      <c r="C76" s="326" t="s">
        <v>157</v>
      </c>
      <c r="D76" s="218" t="s">
        <v>158</v>
      </c>
      <c r="E76" s="216">
        <v>3</v>
      </c>
      <c r="F76" s="176" t="s">
        <v>157</v>
      </c>
      <c r="G76" s="252" t="s">
        <v>158</v>
      </c>
      <c r="H76" s="176">
        <v>3</v>
      </c>
    </row>
    <row r="77" spans="2:9" ht="15.75" thickBot="1" x14ac:dyDescent="0.3">
      <c r="B77" s="333"/>
      <c r="C77" s="326" t="s">
        <v>159</v>
      </c>
      <c r="D77" s="218" t="s">
        <v>160</v>
      </c>
      <c r="E77" s="216">
        <v>3</v>
      </c>
      <c r="F77" s="176" t="s">
        <v>159</v>
      </c>
      <c r="G77" s="252" t="s">
        <v>160</v>
      </c>
      <c r="H77" s="176">
        <v>3</v>
      </c>
    </row>
    <row r="78" spans="2:9" ht="15.75" thickBot="1" x14ac:dyDescent="0.3">
      <c r="B78" s="333"/>
      <c r="C78" s="325"/>
      <c r="D78" s="211" t="s">
        <v>161</v>
      </c>
      <c r="E78" s="273">
        <v>6</v>
      </c>
      <c r="F78" s="209"/>
      <c r="G78" s="211" t="s">
        <v>161</v>
      </c>
      <c r="H78" s="273">
        <v>6</v>
      </c>
    </row>
    <row r="79" spans="2:9" ht="15.75" thickBot="1" x14ac:dyDescent="0.3">
      <c r="B79" s="333"/>
      <c r="C79" s="325"/>
      <c r="D79" s="211" t="s">
        <v>162</v>
      </c>
      <c r="E79" s="276">
        <v>6</v>
      </c>
      <c r="F79" s="209"/>
      <c r="G79" s="211" t="s">
        <v>162</v>
      </c>
      <c r="H79" s="276">
        <v>6</v>
      </c>
    </row>
    <row r="80" spans="2:9" ht="15.75" thickBot="1" x14ac:dyDescent="0.3">
      <c r="B80" s="334"/>
      <c r="C80" s="198"/>
      <c r="D80" s="174" t="s">
        <v>339</v>
      </c>
      <c r="E80" s="254">
        <v>147</v>
      </c>
      <c r="F80" s="274"/>
      <c r="G80" s="277" t="s">
        <v>339</v>
      </c>
      <c r="H80" s="254">
        <v>149</v>
      </c>
      <c r="I80" s="275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"/>
  <sheetViews>
    <sheetView workbookViewId="0">
      <selection activeCell="F23" sqref="F23"/>
    </sheetView>
  </sheetViews>
  <sheetFormatPr defaultRowHeight="15" x14ac:dyDescent="0.25"/>
  <cols>
    <col min="1" max="1" width="5.140625" style="1" customWidth="1"/>
    <col min="2" max="2" width="11" customWidth="1"/>
    <col min="3" max="3" width="45.5703125" customWidth="1"/>
    <col min="4" max="4" width="6.42578125" customWidth="1"/>
    <col min="5" max="5" width="10.28515625" customWidth="1"/>
    <col min="6" max="6" width="12.5703125" customWidth="1"/>
    <col min="7" max="7" width="52.42578125" customWidth="1"/>
    <col min="8" max="8" width="6.85546875" customWidth="1"/>
    <col min="9" max="9" width="9.140625" hidden="1" customWidth="1"/>
    <col min="10" max="10" width="10.28515625" customWidth="1"/>
  </cols>
  <sheetData>
    <row r="2" spans="1:10" s="363" customFormat="1" ht="23.25" x14ac:dyDescent="0.35">
      <c r="A2" s="442" t="s">
        <v>422</v>
      </c>
      <c r="B2" s="442"/>
      <c r="C2" s="442"/>
      <c r="D2" s="442"/>
      <c r="E2" s="442"/>
      <c r="F2" s="442"/>
      <c r="G2" s="442"/>
      <c r="H2" s="442"/>
    </row>
    <row r="3" spans="1:10" s="362" customFormat="1" ht="24" thickBot="1" x14ac:dyDescent="0.4">
      <c r="A3" s="441" t="s">
        <v>426</v>
      </c>
      <c r="B3" s="441"/>
      <c r="C3" s="441"/>
      <c r="D3" s="441"/>
      <c r="E3" s="441"/>
      <c r="F3" s="442"/>
      <c r="G3" s="442"/>
      <c r="H3" s="442"/>
    </row>
    <row r="4" spans="1:10" ht="15.75" thickBot="1" x14ac:dyDescent="0.3">
      <c r="A4" s="447" t="s">
        <v>1</v>
      </c>
      <c r="B4" s="449" t="s">
        <v>340</v>
      </c>
      <c r="C4" s="450"/>
      <c r="D4" s="450"/>
      <c r="E4" s="451"/>
      <c r="F4" s="449" t="s">
        <v>319</v>
      </c>
      <c r="G4" s="450"/>
      <c r="H4" s="450"/>
      <c r="I4" s="450"/>
      <c r="J4" s="451"/>
    </row>
    <row r="5" spans="1:10" ht="15.75" thickBot="1" x14ac:dyDescent="0.3">
      <c r="A5" s="448"/>
      <c r="B5" s="329" t="s">
        <v>423</v>
      </c>
      <c r="C5" s="330" t="s">
        <v>3</v>
      </c>
      <c r="D5" s="330" t="s">
        <v>425</v>
      </c>
      <c r="E5" s="366" t="s">
        <v>427</v>
      </c>
      <c r="F5" s="330" t="s">
        <v>423</v>
      </c>
      <c r="G5" s="330" t="s">
        <v>3</v>
      </c>
      <c r="H5" s="330" t="s">
        <v>425</v>
      </c>
      <c r="J5" s="366" t="s">
        <v>427</v>
      </c>
    </row>
    <row r="6" spans="1:10" ht="15.75" thickBot="1" x14ac:dyDescent="0.3">
      <c r="A6" s="447">
        <v>1</v>
      </c>
      <c r="B6" s="335" t="s">
        <v>7</v>
      </c>
      <c r="C6" s="336" t="s">
        <v>281</v>
      </c>
      <c r="D6" s="443">
        <v>3</v>
      </c>
      <c r="E6" s="445">
        <v>1</v>
      </c>
      <c r="F6" s="251" t="s">
        <v>349</v>
      </c>
      <c r="G6" s="337" t="s">
        <v>281</v>
      </c>
      <c r="H6" s="338">
        <v>3</v>
      </c>
      <c r="J6" s="367">
        <v>1</v>
      </c>
    </row>
    <row r="7" spans="1:10" ht="15.75" thickBot="1" x14ac:dyDescent="0.3">
      <c r="A7" s="448"/>
      <c r="B7" s="339"/>
      <c r="C7" s="340"/>
      <c r="D7" s="444"/>
      <c r="E7" s="446"/>
      <c r="F7" s="372" t="s">
        <v>388</v>
      </c>
      <c r="G7" s="341" t="s">
        <v>128</v>
      </c>
      <c r="H7" s="342">
        <v>3</v>
      </c>
      <c r="J7" s="367">
        <v>2</v>
      </c>
    </row>
    <row r="8" spans="1:10" ht="15.75" thickBot="1" x14ac:dyDescent="0.3">
      <c r="A8" s="254">
        <v>2</v>
      </c>
      <c r="B8" s="373" t="s">
        <v>75</v>
      </c>
      <c r="C8" s="268" t="s">
        <v>321</v>
      </c>
      <c r="D8" s="368">
        <v>2</v>
      </c>
      <c r="E8" s="344">
        <v>5</v>
      </c>
      <c r="F8" s="345" t="s">
        <v>420</v>
      </c>
      <c r="G8" s="346" t="s">
        <v>184</v>
      </c>
      <c r="H8" s="338">
        <v>2</v>
      </c>
      <c r="J8" s="368">
        <v>5</v>
      </c>
    </row>
    <row r="9" spans="1:10" ht="15.75" thickBot="1" x14ac:dyDescent="0.3">
      <c r="A9" s="254">
        <v>3</v>
      </c>
      <c r="B9" s="371" t="s">
        <v>71</v>
      </c>
      <c r="C9" s="374" t="s">
        <v>189</v>
      </c>
      <c r="D9" s="375">
        <v>3</v>
      </c>
      <c r="E9" s="344">
        <v>4</v>
      </c>
      <c r="F9" s="345" t="s">
        <v>379</v>
      </c>
      <c r="G9" s="346" t="s">
        <v>296</v>
      </c>
      <c r="H9" s="338">
        <v>3</v>
      </c>
      <c r="J9" s="367">
        <v>4</v>
      </c>
    </row>
    <row r="10" spans="1:10" ht="18" customHeight="1" thickBot="1" x14ac:dyDescent="0.3">
      <c r="A10" s="377">
        <v>4</v>
      </c>
      <c r="B10" s="339" t="s">
        <v>323</v>
      </c>
      <c r="C10" s="340" t="s">
        <v>424</v>
      </c>
      <c r="D10" s="368">
        <v>3</v>
      </c>
      <c r="E10" s="344">
        <v>5</v>
      </c>
      <c r="F10" s="345" t="s">
        <v>384</v>
      </c>
      <c r="G10" s="347" t="s">
        <v>304</v>
      </c>
      <c r="H10" s="338">
        <v>3</v>
      </c>
      <c r="J10" s="368">
        <v>5</v>
      </c>
    </row>
    <row r="11" spans="1:10" ht="15.75" thickBot="1" x14ac:dyDescent="0.3">
      <c r="A11" s="254">
        <v>5</v>
      </c>
      <c r="B11" s="343" t="s">
        <v>336</v>
      </c>
      <c r="C11" s="364" t="s">
        <v>209</v>
      </c>
      <c r="D11" s="371">
        <v>3</v>
      </c>
      <c r="E11" s="349">
        <v>7</v>
      </c>
      <c r="F11" s="350" t="s">
        <v>350</v>
      </c>
      <c r="G11" s="346" t="s">
        <v>271</v>
      </c>
      <c r="H11" s="338">
        <v>2</v>
      </c>
      <c r="J11" s="369">
        <v>6</v>
      </c>
    </row>
    <row r="12" spans="1:10" ht="15.75" thickBot="1" x14ac:dyDescent="0.3">
      <c r="A12" s="254">
        <v>6</v>
      </c>
      <c r="B12" s="339" t="s">
        <v>149</v>
      </c>
      <c r="C12" s="365" t="s">
        <v>150</v>
      </c>
      <c r="D12" s="367">
        <v>3</v>
      </c>
      <c r="E12" s="351">
        <v>7</v>
      </c>
      <c r="F12" s="350" t="s">
        <v>395</v>
      </c>
      <c r="G12" s="289" t="s">
        <v>342</v>
      </c>
      <c r="H12" s="352">
        <v>3</v>
      </c>
      <c r="J12" s="339">
        <v>6</v>
      </c>
    </row>
    <row r="13" spans="1:10" ht="15.75" thickBot="1" x14ac:dyDescent="0.3">
      <c r="A13" s="254">
        <v>7</v>
      </c>
      <c r="B13" s="343" t="s">
        <v>133</v>
      </c>
      <c r="C13" s="260" t="s">
        <v>198</v>
      </c>
      <c r="D13" s="344">
        <v>3</v>
      </c>
      <c r="E13" s="344">
        <v>7</v>
      </c>
      <c r="F13" s="345" t="s">
        <v>406</v>
      </c>
      <c r="G13" s="346" t="s">
        <v>185</v>
      </c>
      <c r="H13" s="376">
        <v>3</v>
      </c>
      <c r="J13" s="370">
        <v>7</v>
      </c>
    </row>
    <row r="14" spans="1:10" ht="15.75" thickBot="1" x14ac:dyDescent="0.3">
      <c r="A14" s="254">
        <v>8</v>
      </c>
      <c r="B14" s="343" t="s">
        <v>135</v>
      </c>
      <c r="C14" s="348" t="s">
        <v>136</v>
      </c>
      <c r="D14" s="353">
        <v>2</v>
      </c>
      <c r="E14" s="353">
        <v>7</v>
      </c>
      <c r="F14" s="345" t="s">
        <v>408</v>
      </c>
      <c r="G14" s="354" t="s">
        <v>136</v>
      </c>
      <c r="H14" s="345">
        <v>3</v>
      </c>
      <c r="J14" s="353">
        <v>7</v>
      </c>
    </row>
    <row r="15" spans="1:10" ht="15.75" thickBot="1" x14ac:dyDescent="0.3">
      <c r="A15" s="254">
        <v>9</v>
      </c>
      <c r="B15" s="343" t="s">
        <v>139</v>
      </c>
      <c r="C15" s="348" t="s">
        <v>316</v>
      </c>
      <c r="D15" s="353">
        <v>2</v>
      </c>
      <c r="E15" s="353">
        <v>7</v>
      </c>
      <c r="F15" s="345" t="s">
        <v>409</v>
      </c>
      <c r="G15" s="252" t="s">
        <v>316</v>
      </c>
      <c r="H15" s="345">
        <v>3</v>
      </c>
      <c r="J15" s="353">
        <v>7</v>
      </c>
    </row>
    <row r="16" spans="1:10" ht="15.75" thickBot="1" x14ac:dyDescent="0.3">
      <c r="A16" s="254">
        <v>10</v>
      </c>
      <c r="B16" s="343" t="s">
        <v>143</v>
      </c>
      <c r="C16" s="348" t="s">
        <v>144</v>
      </c>
      <c r="D16" s="353">
        <v>2</v>
      </c>
      <c r="E16" s="353">
        <v>7</v>
      </c>
      <c r="F16" s="345" t="s">
        <v>411</v>
      </c>
      <c r="G16" s="252" t="s">
        <v>144</v>
      </c>
      <c r="H16" s="345">
        <v>3</v>
      </c>
      <c r="J16" s="353">
        <v>7</v>
      </c>
    </row>
    <row r="17" spans="1:10" ht="15.75" thickBot="1" x14ac:dyDescent="0.3">
      <c r="A17" s="254">
        <v>11</v>
      </c>
      <c r="B17" s="339" t="s">
        <v>147</v>
      </c>
      <c r="C17" s="260" t="s">
        <v>148</v>
      </c>
      <c r="D17" s="344">
        <v>2</v>
      </c>
      <c r="E17" s="344">
        <v>7</v>
      </c>
      <c r="F17" s="345" t="s">
        <v>413</v>
      </c>
      <c r="G17" s="261" t="s">
        <v>148</v>
      </c>
      <c r="H17" s="345">
        <v>3</v>
      </c>
      <c r="J17" s="344">
        <v>7</v>
      </c>
    </row>
    <row r="18" spans="1:10" ht="15.75" thickBot="1" x14ac:dyDescent="0.3">
      <c r="A18" s="254">
        <v>12</v>
      </c>
      <c r="B18" s="343" t="s">
        <v>153</v>
      </c>
      <c r="C18" s="348" t="s">
        <v>154</v>
      </c>
      <c r="D18" s="353">
        <v>2</v>
      </c>
      <c r="E18" s="353">
        <v>7</v>
      </c>
      <c r="F18" s="345" t="s">
        <v>416</v>
      </c>
      <c r="G18" s="252" t="s">
        <v>154</v>
      </c>
      <c r="H18" s="345">
        <v>3</v>
      </c>
      <c r="J18" s="353">
        <v>7</v>
      </c>
    </row>
    <row r="19" spans="1:10" ht="15.75" thickBot="1" x14ac:dyDescent="0.3">
      <c r="A19" s="254">
        <v>13</v>
      </c>
      <c r="B19" s="343" t="s">
        <v>131</v>
      </c>
      <c r="C19" s="348" t="s">
        <v>132</v>
      </c>
      <c r="D19" s="353">
        <v>2</v>
      </c>
      <c r="E19" s="353">
        <v>7</v>
      </c>
      <c r="F19" s="345" t="s">
        <v>405</v>
      </c>
      <c r="G19" s="252" t="s">
        <v>132</v>
      </c>
      <c r="H19" s="345">
        <v>3</v>
      </c>
      <c r="J19" s="353">
        <v>7</v>
      </c>
    </row>
    <row r="20" spans="1:10" x14ac:dyDescent="0.25">
      <c r="D20" s="1"/>
      <c r="E20" s="1"/>
      <c r="H20" s="1"/>
      <c r="J20" s="1"/>
    </row>
  </sheetData>
  <mergeCells count="8">
    <mergeCell ref="A3:H3"/>
    <mergeCell ref="A2:H2"/>
    <mergeCell ref="D6:D7"/>
    <mergeCell ref="E6:E7"/>
    <mergeCell ref="A4:A5"/>
    <mergeCell ref="B4:E4"/>
    <mergeCell ref="F4:J4"/>
    <mergeCell ref="A6:A7"/>
  </mergeCells>
  <pageMargins left="0.31496062992125984" right="0.31496062992125984" top="0.9448818897637796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KURIKULUM ASLI</vt:lpstr>
      <vt:lpstr>GAFTAR ALIR SA ASLI</vt:lpstr>
      <vt:lpstr>Kurikulum 2015</vt:lpstr>
      <vt:lpstr>GAFTAR ALIR 2015</vt:lpstr>
      <vt:lpstr>Kurikulum 2019</vt:lpstr>
      <vt:lpstr>Gaftar Alir 2019</vt:lpstr>
      <vt:lpstr>Komparasi Per Semester</vt:lpstr>
      <vt:lpstr>Komparasi2</vt:lpstr>
      <vt:lpstr>Penyetaraan</vt:lpstr>
      <vt:lpstr>'GAFTAR ALIR SA ASLI'!aa</vt:lpstr>
      <vt:lpstr>'GAFTAR ALIR SA ASLI'!Print_Area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ASUS</cp:lastModifiedBy>
  <cp:lastPrinted>2019-06-21T08:25:52Z</cp:lastPrinted>
  <dcterms:created xsi:type="dcterms:W3CDTF">2018-10-16T12:56:28Z</dcterms:created>
  <dcterms:modified xsi:type="dcterms:W3CDTF">2019-07-03T14:50:55Z</dcterms:modified>
</cp:coreProperties>
</file>