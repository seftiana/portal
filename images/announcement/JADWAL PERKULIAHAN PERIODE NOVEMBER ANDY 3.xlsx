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730" windowHeight="10425" tabRatio="601" activeTab="3"/>
  </bookViews>
  <sheets>
    <sheet name="SM-Karyawan " sheetId="7" r:id="rId1"/>
    <sheet name="SA-Informasi" sheetId="1" r:id="rId2"/>
    <sheet name="SA-Karyawan" sheetId="2" r:id="rId3"/>
    <sheet name="SM-Intensif " sheetId="6" r:id="rId4"/>
    <sheet name="SI-Intensif" sheetId="8" r:id="rId5"/>
  </sheets>
  <externalReferences>
    <externalReference r:id="rId6"/>
  </externalReferences>
  <definedNames>
    <definedName name="_xlnm.Print_Area" localSheetId="1">'SA-Informasi'!$A$1:$M$47</definedName>
    <definedName name="_xlnm.Print_Area" localSheetId="2">'SA-Karyawan'!$A$1:$M$49</definedName>
    <definedName name="_xlnm.Print_Area" localSheetId="3">'SM-Intensif '!$C$1:$M$56</definedName>
    <definedName name="_xlnm.Print_Titles" localSheetId="2">'SA-Karyawan'!$4:$4</definedName>
    <definedName name="_xlnm.Print_Titles" localSheetId="3">'SM-Intensif '!$4:$4</definedName>
  </definedNames>
  <calcPr calcId="145621"/>
</workbook>
</file>

<file path=xl/calcChain.xml><?xml version="1.0" encoding="utf-8"?>
<calcChain xmlns="http://schemas.openxmlformats.org/spreadsheetml/2006/main">
  <c r="I5" i="6" l="1"/>
  <c r="D5" i="6"/>
  <c r="E5" i="6"/>
  <c r="D6" i="6"/>
  <c r="E6" i="6"/>
  <c r="D7" i="6"/>
  <c r="E7" i="6"/>
  <c r="D8" i="6"/>
  <c r="E8" i="6"/>
  <c r="D41" i="2"/>
  <c r="D33" i="2" s="1"/>
  <c r="D37" i="2" s="1"/>
  <c r="E41" i="2"/>
  <c r="E33" i="2" s="1"/>
  <c r="E37" i="2" s="1"/>
  <c r="D42" i="2"/>
  <c r="D34" i="2" s="1"/>
  <c r="D38" i="2" s="1"/>
  <c r="E42" i="2"/>
  <c r="E34" i="2" s="1"/>
  <c r="E38" i="2" s="1"/>
  <c r="D43" i="2"/>
  <c r="D35" i="2" s="1"/>
  <c r="D39" i="2" s="1"/>
  <c r="E43" i="2"/>
  <c r="E35" i="2" s="1"/>
  <c r="E39" i="2" s="1"/>
  <c r="D44" i="2"/>
  <c r="D36" i="2" s="1"/>
  <c r="D40" i="2" s="1"/>
  <c r="E44" i="2"/>
  <c r="E36" i="2" s="1"/>
  <c r="E40" i="2" s="1"/>
  <c r="D13" i="2"/>
  <c r="E13" i="2"/>
  <c r="D14" i="2"/>
  <c r="E14" i="2"/>
  <c r="D15" i="2"/>
  <c r="E15" i="2"/>
  <c r="D16" i="2"/>
  <c r="E16" i="2"/>
  <c r="D9" i="2"/>
  <c r="E9" i="2"/>
  <c r="D10" i="2"/>
  <c r="E10" i="2"/>
  <c r="D11" i="2"/>
  <c r="E11" i="2"/>
  <c r="D12" i="2"/>
  <c r="E12" i="2"/>
  <c r="J5" i="1" l="1"/>
  <c r="J9" i="1" s="1"/>
  <c r="J13" i="1" s="1"/>
  <c r="J17" i="1" s="1"/>
  <c r="J25" i="1" s="1"/>
  <c r="J29" i="1" s="1"/>
  <c r="J10" i="1"/>
  <c r="J14" i="1" s="1"/>
  <c r="J18" i="1" s="1"/>
  <c r="J26" i="1" s="1"/>
  <c r="J30" i="1" s="1"/>
  <c r="K9" i="1"/>
  <c r="K13" i="1"/>
  <c r="K17" i="1"/>
  <c r="I5" i="1"/>
  <c r="K5" i="1"/>
  <c r="J8" i="1"/>
  <c r="J12" i="1" s="1"/>
  <c r="J16" i="1" s="1"/>
  <c r="J20" i="1" s="1"/>
  <c r="J38" i="1" l="1"/>
  <c r="J34" i="1"/>
  <c r="J37" i="1"/>
  <c r="J33" i="1"/>
  <c r="J28" i="1"/>
  <c r="J32" i="1" s="1"/>
  <c r="J24" i="1"/>
  <c r="J21" i="1"/>
  <c r="J11" i="1"/>
  <c r="J15" i="1" s="1"/>
  <c r="J19" i="1" s="1"/>
  <c r="J23" i="1" s="1"/>
  <c r="J22" i="1"/>
  <c r="L25" i="1"/>
  <c r="L21" i="1"/>
  <c r="L5" i="1"/>
  <c r="I25" i="1"/>
  <c r="D29" i="1"/>
  <c r="D33" i="1" s="1"/>
  <c r="E29" i="1"/>
  <c r="E33" i="1" s="1"/>
  <c r="D30" i="1"/>
  <c r="D34" i="1" s="1"/>
  <c r="E30" i="1"/>
  <c r="E34" i="1" s="1"/>
  <c r="D31" i="1"/>
  <c r="D35" i="1" s="1"/>
  <c r="E31" i="1"/>
  <c r="E35" i="1" s="1"/>
  <c r="D32" i="1"/>
  <c r="D36" i="1" s="1"/>
  <c r="E32" i="1"/>
  <c r="E36" i="1" s="1"/>
  <c r="J40" i="1" l="1"/>
  <c r="J36" i="1"/>
  <c r="J27" i="1"/>
  <c r="J31" i="1" s="1"/>
  <c r="J39" i="1" l="1"/>
  <c r="J35" i="1"/>
</calcChain>
</file>

<file path=xl/sharedStrings.xml><?xml version="1.0" encoding="utf-8"?>
<sst xmlns="http://schemas.openxmlformats.org/spreadsheetml/2006/main" count="622" uniqueCount="218">
  <si>
    <t xml:space="preserve">S1 AKUNTANSI - PROGRAM INTENSIF </t>
  </si>
  <si>
    <t>NO</t>
  </si>
  <si>
    <t>KODE</t>
  </si>
  <si>
    <t>MATA KULIAH</t>
  </si>
  <si>
    <t>KEL</t>
  </si>
  <si>
    <t>NO. REG</t>
  </si>
  <si>
    <t>NAMA DOSEN</t>
  </si>
  <si>
    <t>RUANG</t>
  </si>
  <si>
    <t>HARI, WAKTU</t>
  </si>
  <si>
    <t>MHS</t>
  </si>
  <si>
    <t>ANGKATAN</t>
  </si>
  <si>
    <t>EKA4190</t>
  </si>
  <si>
    <t>EKA5312</t>
  </si>
  <si>
    <t>EKA4200</t>
  </si>
  <si>
    <t>EKA4060</t>
  </si>
  <si>
    <t>EKA4221</t>
  </si>
  <si>
    <t>Akuntansi Perbankan</t>
  </si>
  <si>
    <t>EKA4211</t>
  </si>
  <si>
    <t>AKUNTANSI SEKTOR PUBLIK</t>
  </si>
  <si>
    <t>EKA4170</t>
  </si>
  <si>
    <t>AUDITING INTERNAL</t>
  </si>
  <si>
    <t>Periode</t>
  </si>
  <si>
    <t>EKA4021</t>
  </si>
  <si>
    <t>EKA4050</t>
  </si>
  <si>
    <t>EKA4162</t>
  </si>
  <si>
    <t>EKA4140</t>
  </si>
  <si>
    <t>EKA4012</t>
  </si>
  <si>
    <t>AKUNTANSI KEUANGAN MENENGAH II</t>
  </si>
  <si>
    <t>EKF4102</t>
  </si>
  <si>
    <t>MANAJEMEN KEUANGAN II</t>
  </si>
  <si>
    <t>EKA4072</t>
  </si>
  <si>
    <t>PERPAJAKAN II</t>
  </si>
  <si>
    <t>EKF4150</t>
  </si>
  <si>
    <t>Sistem Informasi Manajemen</t>
  </si>
  <si>
    <t>Ketua Prodi Akuntansi,</t>
  </si>
  <si>
    <t>Dekan Fakultas Ekonomi &amp; Bisnis,</t>
  </si>
  <si>
    <t>JADWAL KULIAH (Sistem  Periode)</t>
  </si>
  <si>
    <t xml:space="preserve">S1 AKUNTANSI - KELAS KARYAWAN </t>
  </si>
  <si>
    <t>NOREG</t>
  </si>
  <si>
    <t>Dr. Hidajat Sofjan Widjaja</t>
  </si>
  <si>
    <t xml:space="preserve">S1 MANAJEMEN - PROGRAM INTENSIF </t>
  </si>
  <si>
    <t>EKM4131</t>
  </si>
  <si>
    <t>Penganggaran Perusahaan</t>
  </si>
  <si>
    <t>EKM3010</t>
  </si>
  <si>
    <t>TEORI EKONOMI MIKRO</t>
  </si>
  <si>
    <t>EKM2070</t>
  </si>
  <si>
    <t>Bank dan Lembaga Keuangan Lainnya</t>
  </si>
  <si>
    <t>EKM2042</t>
  </si>
  <si>
    <t>Pengantar Akuntansi II</t>
  </si>
  <si>
    <t>Ketua Prodi Manajemen,</t>
  </si>
  <si>
    <t xml:space="preserve">   Nicodemus Simu, S.E., M.M</t>
  </si>
  <si>
    <t>JADWAL KULIAH (Sistem Periode)</t>
  </si>
  <si>
    <t>S1 MANAJEMEN - KELAS KARYAWAN</t>
  </si>
  <si>
    <t>EKM4080</t>
  </si>
  <si>
    <t>Studi Kelayakan Bisnis</t>
  </si>
  <si>
    <t>EKM4180</t>
  </si>
  <si>
    <t>MANAJEMEN STRATEGIK</t>
  </si>
  <si>
    <t>EKM3050</t>
  </si>
  <si>
    <t>Metode Penelitian Bisnis</t>
  </si>
  <si>
    <t>JUMAT, 18.30 - 21.00</t>
  </si>
  <si>
    <t>SABTU, 08.00 - 10.30</t>
  </si>
  <si>
    <t>SABTU, 10.45 - 13.15</t>
  </si>
  <si>
    <t>SABTU, 14.00 - 16.30</t>
  </si>
  <si>
    <t>PERIODE</t>
  </si>
  <si>
    <t>EKA5342</t>
  </si>
  <si>
    <t>EKA5360</t>
  </si>
  <si>
    <t>EKA6010</t>
  </si>
  <si>
    <t>EKM7020</t>
  </si>
  <si>
    <t>EKM7024</t>
  </si>
  <si>
    <t>Seminar &amp; Riset MSDM</t>
  </si>
  <si>
    <t>EKM7021</t>
  </si>
  <si>
    <t>EKM8010</t>
  </si>
  <si>
    <t>KAMIS,18.30-21.00</t>
  </si>
  <si>
    <t>2018/07 Periode</t>
  </si>
  <si>
    <t>Manajemen Perpajakan</t>
  </si>
  <si>
    <t>Seminar Akuntansi Manajemen</t>
  </si>
  <si>
    <t>TEORI AKUNTANSI</t>
  </si>
  <si>
    <t>Sistem Pengendalian Manajemen</t>
  </si>
  <si>
    <t>Akuntansi Internasional</t>
  </si>
  <si>
    <t>Seminar Akuntansi Keuangan</t>
  </si>
  <si>
    <t>Sistem Informasi Akuntansi II</t>
  </si>
  <si>
    <t>Manajemen Biaya</t>
  </si>
  <si>
    <t>AUDITING II</t>
  </si>
  <si>
    <t>AKUNTANSI KEUANGAN LANJUTAN II</t>
  </si>
  <si>
    <t>EKA3050</t>
  </si>
  <si>
    <t>METODOLOGI PENELITIAN</t>
  </si>
  <si>
    <t>Manajemen Kinerja dan Kompensasi</t>
  </si>
  <si>
    <t>EKM6032</t>
  </si>
  <si>
    <t>Manajemen Aktiva Pasiva Bank Devisa</t>
  </si>
  <si>
    <t>EKM4040</t>
  </si>
  <si>
    <t>MKK3042</t>
  </si>
  <si>
    <t>STATISTIK INFERENSIAL &amp; LAB.</t>
  </si>
  <si>
    <t>EKM3110</t>
  </si>
  <si>
    <t>Ekonomi Moneter</t>
  </si>
  <si>
    <t>EKM3022</t>
  </si>
  <si>
    <t>Teori Ekonomi Makro</t>
  </si>
  <si>
    <t>EKM4021</t>
  </si>
  <si>
    <t>MSDM II</t>
  </si>
  <si>
    <t>EKM4031</t>
  </si>
  <si>
    <t>Manajemen Keuangan II</t>
  </si>
  <si>
    <t>2018/10 Periode</t>
  </si>
  <si>
    <t>Peren. Strategik &amp; Peng. S.D.M</t>
  </si>
  <si>
    <t>2018/10 Perode</t>
  </si>
  <si>
    <t>2019/03 Periode</t>
  </si>
  <si>
    <t xml:space="preserve">Manajemen Operasional </t>
  </si>
  <si>
    <t xml:space="preserve"> </t>
  </si>
  <si>
    <t>TUGAS AKHIR</t>
  </si>
  <si>
    <t>\</t>
  </si>
  <si>
    <t>RABU, 18.30 - 21.00</t>
  </si>
  <si>
    <t>SELASA,18.30 - 21.00</t>
  </si>
  <si>
    <t xml:space="preserve">Manajemen Operasonal </t>
  </si>
  <si>
    <t>2019/03</t>
  </si>
  <si>
    <t>Perencanaan &amp; Pengendalian Pemasaran</t>
  </si>
  <si>
    <t>2019/07</t>
  </si>
  <si>
    <t>SENIN. 18.30-21.00</t>
  </si>
  <si>
    <t>SELASA,18.30-21.00</t>
  </si>
  <si>
    <t>RAB U, 18.30-21.00</t>
  </si>
  <si>
    <t>PERENCANAAN &amp; PENG. PEMASARAN</t>
  </si>
  <si>
    <t>EKM7033</t>
  </si>
  <si>
    <t xml:space="preserve">Pemasaran Jasa </t>
  </si>
  <si>
    <t>EKM7035</t>
  </si>
  <si>
    <t>Seminar &amp; Riset Manajemen Pemasaran</t>
  </si>
  <si>
    <t>EKM7037</t>
  </si>
  <si>
    <t>Perilaku Konsumen</t>
  </si>
  <si>
    <t>Andy Prabowo.,S.Kom</t>
  </si>
  <si>
    <t xml:space="preserve">    Jasman.,S.E.,Ak.,M.B.A.,CA</t>
  </si>
  <si>
    <t xml:space="preserve">                             Ketua Prodi Akuntansi,</t>
  </si>
  <si>
    <t xml:space="preserve"> (  04 November 2019 -   22 Februari 2020 Sistem Periode)  </t>
  </si>
  <si>
    <t xml:space="preserve"> (  04 November 2019 -  22 Februari 2020 Sistem Periode)  </t>
  </si>
  <si>
    <t>Jasman, S.E.,Ak., M.B.A., CA</t>
  </si>
  <si>
    <t>1K5A</t>
  </si>
  <si>
    <t>1K5B</t>
  </si>
  <si>
    <t>1K4A</t>
  </si>
  <si>
    <t>1K4B</t>
  </si>
  <si>
    <t>1K4C</t>
  </si>
  <si>
    <t>1K4D</t>
  </si>
  <si>
    <t>1K3A</t>
  </si>
  <si>
    <t>1K2A</t>
  </si>
  <si>
    <t>1K2B</t>
  </si>
  <si>
    <t>1K1A</t>
  </si>
  <si>
    <t>1K1B</t>
  </si>
  <si>
    <t>1K1C</t>
  </si>
  <si>
    <t>1N5A</t>
  </si>
  <si>
    <t>1N4A</t>
  </si>
  <si>
    <t>1N4B</t>
  </si>
  <si>
    <t>1N4C</t>
  </si>
  <si>
    <t>1N3A</t>
  </si>
  <si>
    <t>1N2A</t>
  </si>
  <si>
    <t>1N1A</t>
  </si>
  <si>
    <t>1N1B</t>
  </si>
  <si>
    <t>1N1C</t>
  </si>
  <si>
    <t>1K54A</t>
  </si>
  <si>
    <t>1N4D</t>
  </si>
  <si>
    <t>Kabag Kelas Lanjutan</t>
  </si>
  <si>
    <t xml:space="preserve"> Andy Prabowo.,S.Kom</t>
  </si>
  <si>
    <t>2019/07 Periode</t>
  </si>
  <si>
    <t>J AD W A L   K U L I A H</t>
  </si>
  <si>
    <t xml:space="preserve">PROGRAM: S1 SISTEM INFORMASI - KELAS INTENSIF </t>
  </si>
  <si>
    <t>PERIODE NOVEMBER 2019 - FEBRUARI 2020</t>
  </si>
  <si>
    <t>NO.</t>
  </si>
  <si>
    <t>DOSEN</t>
  </si>
  <si>
    <t>TIN9001</t>
  </si>
  <si>
    <t>Business Process Analysis (Analisa Proses Bisnis)</t>
  </si>
  <si>
    <t>SENIN 18.30 -21.00</t>
  </si>
  <si>
    <t>TIN3102</t>
  </si>
  <si>
    <t xml:space="preserve">Arsitektur Tekno. Perbankan Indonesia </t>
  </si>
  <si>
    <t>SELASA  18.30 - 21.00</t>
  </si>
  <si>
    <t>TII3201</t>
  </si>
  <si>
    <t xml:space="preserve">Concept of Algorithm (Dasar Algoritma) </t>
  </si>
  <si>
    <t>03292</t>
  </si>
  <si>
    <t>RABU 18.30 - 21.00</t>
  </si>
  <si>
    <t>TII4201</t>
  </si>
  <si>
    <t xml:space="preserve">Computer and Society (Komputer dan Masyarakat) </t>
  </si>
  <si>
    <t> P1755</t>
  </si>
  <si>
    <t>KAMIS 18.30 - 21.00</t>
  </si>
  <si>
    <t>TII3101</t>
  </si>
  <si>
    <t>Web Design and Programming (Desain dan Pemrograman Web (PHP)</t>
  </si>
  <si>
    <t>Senin, 18.30-21.00</t>
  </si>
  <si>
    <t>TII1121</t>
  </si>
  <si>
    <t>Platform Technologies (Sistem Operasi)</t>
  </si>
  <si>
    <t>Selasa, 18.30-21.00</t>
  </si>
  <si>
    <t>TII2006</t>
  </si>
  <si>
    <t>IT/IS Governance (Tata Kelola IS/IT)</t>
  </si>
  <si>
    <t>01231</t>
  </si>
  <si>
    <t>Rabu, 18.30-21.00</t>
  </si>
  <si>
    <t>TII3222</t>
  </si>
  <si>
    <t>Object Oriented System Analysis Design (Analisis dan Perancangan Berorientasi Objek (UML)</t>
  </si>
  <si>
    <t>Kamis, 18.30 -21.00</t>
  </si>
  <si>
    <t>TII2005</t>
  </si>
  <si>
    <t xml:space="preserve">Rekayasa Sistem Informasi </t>
  </si>
  <si>
    <t>TII1203</t>
  </si>
  <si>
    <t xml:space="preserve">Information System Security </t>
  </si>
  <si>
    <t>Selasa, 18.30-21.01</t>
  </si>
  <si>
    <t>TIN2131</t>
  </si>
  <si>
    <t xml:space="preserve">Manajemen Proyek Sistem Informasi </t>
  </si>
  <si>
    <t>Rabu, 18.30-21.02</t>
  </si>
  <si>
    <t>TII3002</t>
  </si>
  <si>
    <t xml:space="preserve">Testing dan Implementasi Sistem Informasi </t>
  </si>
  <si>
    <t>L1766</t>
  </si>
  <si>
    <t>Kamis, 18.30-21.03</t>
  </si>
  <si>
    <t>TII2007</t>
  </si>
  <si>
    <t xml:space="preserve">Pengelolaan Sistem Informasi Perbankan dan Keu </t>
  </si>
  <si>
    <t>P15110</t>
  </si>
  <si>
    <t>Senin, 18.30-21.01</t>
  </si>
  <si>
    <t>TIX2102</t>
  </si>
  <si>
    <t>Metode Penelitian</t>
  </si>
  <si>
    <t>TII2501</t>
  </si>
  <si>
    <t xml:space="preserve">Audit  Sistem Informasi (d/h Komputer Audit) </t>
  </si>
  <si>
    <t>TIN9002</t>
  </si>
  <si>
    <t>Business Intelligence</t>
  </si>
  <si>
    <t>TITIF03</t>
  </si>
  <si>
    <t>SKRIPSI</t>
  </si>
  <si>
    <t>TIMPK05</t>
  </si>
  <si>
    <t>Seminar Proposal Skripsi</t>
  </si>
  <si>
    <t>Kaprodi Sistem Informasi</t>
  </si>
  <si>
    <t>Agnes Novita Ida Safitri, M.Kom</t>
  </si>
  <si>
    <t>Jakarta, 26 September 2019</t>
  </si>
  <si>
    <t xml:space="preserve">2018/010 Periode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</si>
</sst>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28"/>
      <color indexed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indexed="8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7"/>
      <color indexed="8"/>
      <name val="Cambria"/>
      <family val="1"/>
      <scheme val="major"/>
    </font>
    <font>
      <sz val="14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sz val="14"/>
      <color rgb="FFFF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charset val="1"/>
      <scheme val="minor"/>
    </font>
    <font>
      <sz val="12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5" fillId="0" borderId="0"/>
  </cellStyleXfs>
  <cellXfs count="803">
    <xf numFmtId="0" fontId="0" fillId="0" borderId="0" xfId="0"/>
    <xf numFmtId="0" fontId="10" fillId="2" borderId="0" xfId="2" applyFont="1" applyFill="1" applyAlignment="1">
      <alignment horizontal="center"/>
    </xf>
    <xf numFmtId="0" fontId="12" fillId="4" borderId="16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/>
    </xf>
    <xf numFmtId="0" fontId="12" fillId="4" borderId="5" xfId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/>
    </xf>
    <xf numFmtId="0" fontId="13" fillId="2" borderId="0" xfId="2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2" borderId="0" xfId="1" applyFont="1" applyFill="1"/>
    <xf numFmtId="0" fontId="13" fillId="2" borderId="0" xfId="1" applyFont="1" applyFill="1" applyAlignment="1">
      <alignment horizontal="left"/>
    </xf>
    <xf numFmtId="0" fontId="13" fillId="2" borderId="0" xfId="1" applyFont="1" applyFill="1" applyAlignment="1">
      <alignment horizontal="center"/>
    </xf>
    <xf numFmtId="0" fontId="14" fillId="0" borderId="0" xfId="1" applyFont="1"/>
    <xf numFmtId="0" fontId="13" fillId="2" borderId="0" xfId="1" applyFont="1" applyFill="1" applyBorder="1" applyAlignment="1">
      <alignment horizontal="center"/>
    </xf>
    <xf numFmtId="0" fontId="12" fillId="4" borderId="8" xfId="1" applyFont="1" applyFill="1" applyBorder="1" applyAlignment="1">
      <alignment horizontal="center" vertical="center"/>
    </xf>
    <xf numFmtId="0" fontId="12" fillId="4" borderId="37" xfId="1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vertical="center"/>
    </xf>
    <xf numFmtId="0" fontId="13" fillId="2" borderId="0" xfId="2" applyFont="1" applyFill="1" applyAlignment="1">
      <alignment horizontal="left"/>
    </xf>
    <xf numFmtId="0" fontId="8" fillId="2" borderId="0" xfId="2" applyFont="1" applyFill="1" applyAlignment="1">
      <alignment horizontal="center"/>
    </xf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7" fillId="0" borderId="0" xfId="0" applyFont="1"/>
    <xf numFmtId="0" fontId="10" fillId="3" borderId="0" xfId="0" applyFont="1" applyFill="1" applyAlignment="1">
      <alignment wrapText="1"/>
    </xf>
    <xf numFmtId="0" fontId="9" fillId="0" borderId="19" xfId="0" applyFont="1" applyFill="1" applyBorder="1" applyAlignment="1">
      <alignment horizontal="center" vertical="center"/>
    </xf>
    <xf numFmtId="0" fontId="17" fillId="0" borderId="0" xfId="0" applyFont="1"/>
    <xf numFmtId="0" fontId="11" fillId="0" borderId="24" xfId="1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0" fillId="0" borderId="25" xfId="2" applyFont="1" applyFill="1" applyBorder="1" applyAlignment="1">
      <alignment horizontal="center" vertical="center"/>
    </xf>
    <xf numFmtId="0" fontId="13" fillId="2" borderId="0" xfId="2" applyFont="1" applyFill="1"/>
    <xf numFmtId="0" fontId="13" fillId="2" borderId="0" xfId="2" applyFont="1" applyFill="1" applyAlignment="1">
      <alignment horizontal="center"/>
    </xf>
    <xf numFmtId="0" fontId="10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0" fontId="11" fillId="3" borderId="0" xfId="1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0" fontId="11" fillId="0" borderId="23" xfId="1" applyFont="1" applyFill="1" applyBorder="1" applyAlignment="1">
      <alignment horizontal="center" vertical="center"/>
    </xf>
    <xf numFmtId="0" fontId="11" fillId="0" borderId="25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0" fillId="7" borderId="0" xfId="0" applyFill="1"/>
    <xf numFmtId="0" fontId="11" fillId="0" borderId="19" xfId="1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Border="1"/>
    <xf numFmtId="0" fontId="8" fillId="4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4" fillId="3" borderId="2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3" fillId="3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vertical="center"/>
    </xf>
    <xf numFmtId="0" fontId="11" fillId="3" borderId="25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vertical="center"/>
    </xf>
    <xf numFmtId="0" fontId="9" fillId="3" borderId="24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/>
    </xf>
    <xf numFmtId="0" fontId="11" fillId="3" borderId="36" xfId="0" applyFont="1" applyFill="1" applyBorder="1"/>
    <xf numFmtId="0" fontId="11" fillId="3" borderId="1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center"/>
    </xf>
    <xf numFmtId="0" fontId="11" fillId="3" borderId="32" xfId="0" applyFont="1" applyFill="1" applyBorder="1"/>
    <xf numFmtId="0" fontId="9" fillId="3" borderId="24" xfId="0" quotePrefix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/>
    </xf>
    <xf numFmtId="0" fontId="18" fillId="3" borderId="24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vertical="center" wrapText="1"/>
    </xf>
    <xf numFmtId="0" fontId="11" fillId="3" borderId="33" xfId="0" applyFont="1" applyFill="1" applyBorder="1" applyAlignment="1">
      <alignment horizontal="center"/>
    </xf>
    <xf numFmtId="0" fontId="11" fillId="3" borderId="33" xfId="0" applyFont="1" applyFill="1" applyBorder="1"/>
    <xf numFmtId="0" fontId="11" fillId="3" borderId="31" xfId="0" applyFont="1" applyFill="1" applyBorder="1" applyAlignment="1">
      <alignment horizontal="center"/>
    </xf>
    <xf numFmtId="0" fontId="11" fillId="3" borderId="31" xfId="0" applyFont="1" applyFill="1" applyBorder="1"/>
    <xf numFmtId="0" fontId="11" fillId="3" borderId="23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vertical="center" wrapText="1"/>
    </xf>
    <xf numFmtId="49" fontId="9" fillId="3" borderId="27" xfId="0" applyNumberFormat="1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vertical="center"/>
    </xf>
    <xf numFmtId="0" fontId="11" fillId="3" borderId="25" xfId="0" quotePrefix="1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25" xfId="0" applyFont="1" applyFill="1" applyBorder="1" applyAlignment="1">
      <alignment horizontal="center"/>
    </xf>
    <xf numFmtId="0" fontId="11" fillId="3" borderId="9" xfId="0" applyFont="1" applyFill="1" applyBorder="1" applyAlignment="1">
      <alignment vertical="center" wrapText="1"/>
    </xf>
    <xf numFmtId="0" fontId="11" fillId="3" borderId="22" xfId="0" applyFont="1" applyFill="1" applyBorder="1" applyAlignment="1">
      <alignment horizontal="left"/>
    </xf>
    <xf numFmtId="0" fontId="9" fillId="3" borderId="33" xfId="0" applyFont="1" applyFill="1" applyBorder="1" applyAlignment="1">
      <alignment horizontal="left" vertical="center"/>
    </xf>
    <xf numFmtId="0" fontId="9" fillId="3" borderId="23" xfId="0" applyFont="1" applyFill="1" applyBorder="1" applyAlignment="1">
      <alignment vertical="center"/>
    </xf>
    <xf numFmtId="0" fontId="9" fillId="3" borderId="25" xfId="0" applyFont="1" applyFill="1" applyBorder="1" applyAlignment="1">
      <alignment vertical="center"/>
    </xf>
    <xf numFmtId="0" fontId="9" fillId="3" borderId="41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49" fontId="9" fillId="3" borderId="24" xfId="0" applyNumberFormat="1" applyFont="1" applyFill="1" applyBorder="1" applyAlignment="1">
      <alignment horizontal="center" vertical="center"/>
    </xf>
    <xf numFmtId="0" fontId="10" fillId="3" borderId="31" xfId="4" applyFont="1" applyFill="1" applyBorder="1" applyAlignment="1">
      <alignment horizontal="center" vertical="center"/>
    </xf>
    <xf numFmtId="0" fontId="10" fillId="3" borderId="32" xfId="4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/>
    </xf>
    <xf numFmtId="0" fontId="18" fillId="3" borderId="32" xfId="0" applyFont="1" applyFill="1" applyBorder="1"/>
    <xf numFmtId="0" fontId="19" fillId="3" borderId="24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left" vertical="center"/>
    </xf>
    <xf numFmtId="49" fontId="11" fillId="3" borderId="26" xfId="0" applyNumberFormat="1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8" fillId="3" borderId="33" xfId="0" applyFont="1" applyFill="1" applyBorder="1" applyAlignment="1">
      <alignment horizontal="center"/>
    </xf>
    <xf numFmtId="0" fontId="18" fillId="3" borderId="33" xfId="0" applyFont="1" applyFill="1" applyBorder="1"/>
    <xf numFmtId="49" fontId="9" fillId="3" borderId="25" xfId="0" applyNumberFormat="1" applyFont="1" applyFill="1" applyBorder="1" applyAlignment="1">
      <alignment horizontal="center" vertical="center"/>
    </xf>
    <xf numFmtId="0" fontId="10" fillId="3" borderId="25" xfId="4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/>
    </xf>
    <xf numFmtId="0" fontId="24" fillId="3" borderId="25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vertical="center"/>
    </xf>
    <xf numFmtId="0" fontId="11" fillId="0" borderId="0" xfId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0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0" xfId="0" applyFill="1"/>
    <xf numFmtId="0" fontId="11" fillId="0" borderId="21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/>
    </xf>
    <xf numFmtId="0" fontId="10" fillId="0" borderId="19" xfId="0" quotePrefix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left" vertical="center"/>
    </xf>
    <xf numFmtId="0" fontId="11" fillId="0" borderId="27" xfId="1" applyFont="1" applyFill="1" applyBorder="1" applyAlignment="1">
      <alignment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36" xfId="1" applyFont="1" applyFill="1" applyBorder="1" applyAlignment="1">
      <alignment horizontal="left" vertical="center"/>
    </xf>
    <xf numFmtId="0" fontId="11" fillId="0" borderId="32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vertical="center"/>
    </xf>
    <xf numFmtId="0" fontId="18" fillId="0" borderId="0" xfId="0" applyFont="1" applyFill="1"/>
    <xf numFmtId="0" fontId="11" fillId="0" borderId="33" xfId="1" applyFont="1" applyFill="1" applyBorder="1" applyAlignment="1">
      <alignment horizontal="left" vertical="center"/>
    </xf>
    <xf numFmtId="0" fontId="11" fillId="0" borderId="31" xfId="1" applyFont="1" applyFill="1" applyBorder="1" applyAlignment="1">
      <alignment horizontal="left" vertical="center"/>
    </xf>
    <xf numFmtId="0" fontId="11" fillId="0" borderId="23" xfId="0" applyFont="1" applyFill="1" applyBorder="1" applyAlignment="1">
      <alignment vertical="center"/>
    </xf>
    <xf numFmtId="0" fontId="10" fillId="0" borderId="24" xfId="2" applyFont="1" applyFill="1" applyBorder="1" applyAlignment="1">
      <alignment horizontal="center" vertical="center"/>
    </xf>
    <xf numFmtId="0" fontId="10" fillId="0" borderId="24" xfId="2" applyFont="1" applyFill="1" applyBorder="1" applyAlignment="1">
      <alignment vertical="center"/>
    </xf>
    <xf numFmtId="0" fontId="11" fillId="0" borderId="24" xfId="0" applyFont="1" applyFill="1" applyBorder="1" applyAlignment="1">
      <alignment vertical="center"/>
    </xf>
    <xf numFmtId="0" fontId="10" fillId="0" borderId="24" xfId="2" quotePrefix="1" applyFont="1" applyFill="1" applyBorder="1" applyAlignment="1">
      <alignment horizontal="center" vertical="center"/>
    </xf>
    <xf numFmtId="0" fontId="10" fillId="0" borderId="24" xfId="2" applyFont="1" applyFill="1" applyBorder="1" applyAlignment="1">
      <alignment horizontal="left" vertical="center"/>
    </xf>
    <xf numFmtId="0" fontId="11" fillId="0" borderId="25" xfId="0" applyFont="1" applyFill="1" applyBorder="1" applyAlignment="1">
      <alignment vertical="center"/>
    </xf>
    <xf numFmtId="0" fontId="10" fillId="0" borderId="19" xfId="2" applyFont="1" applyFill="1" applyBorder="1" applyAlignment="1">
      <alignment horizontal="center" vertical="center"/>
    </xf>
    <xf numFmtId="0" fontId="10" fillId="0" borderId="26" xfId="2" applyFont="1" applyFill="1" applyBorder="1" applyAlignment="1">
      <alignment vertical="center"/>
    </xf>
    <xf numFmtId="0" fontId="10" fillId="0" borderId="27" xfId="2" applyFont="1" applyFill="1" applyBorder="1" applyAlignment="1">
      <alignment vertical="center"/>
    </xf>
    <xf numFmtId="0" fontId="10" fillId="0" borderId="20" xfId="2" applyFont="1" applyFill="1" applyBorder="1" applyAlignment="1">
      <alignment horizontal="center" vertical="center"/>
    </xf>
    <xf numFmtId="0" fontId="10" fillId="0" borderId="28" xfId="2" applyFont="1" applyFill="1" applyBorder="1" applyAlignment="1">
      <alignment vertical="center"/>
    </xf>
    <xf numFmtId="0" fontId="10" fillId="0" borderId="29" xfId="2" applyFont="1" applyFill="1" applyBorder="1" applyAlignment="1">
      <alignment horizontal="center" vertical="center"/>
    </xf>
    <xf numFmtId="0" fontId="10" fillId="0" borderId="23" xfId="2" applyFont="1" applyFill="1" applyBorder="1" applyAlignment="1">
      <alignment vertical="center"/>
    </xf>
    <xf numFmtId="0" fontId="10" fillId="0" borderId="27" xfId="2" applyFont="1" applyFill="1" applyBorder="1" applyAlignment="1">
      <alignment horizontal="center" vertical="center"/>
    </xf>
    <xf numFmtId="0" fontId="11" fillId="0" borderId="0" xfId="0" quotePrefix="1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0" fillId="0" borderId="7" xfId="2" applyFont="1" applyFill="1" applyBorder="1" applyAlignment="1">
      <alignment vertical="center"/>
    </xf>
    <xf numFmtId="0" fontId="10" fillId="0" borderId="24" xfId="1" applyFont="1" applyFill="1" applyBorder="1" applyAlignment="1">
      <alignment vertical="center"/>
    </xf>
    <xf numFmtId="0" fontId="11" fillId="0" borderId="17" xfId="0" applyFont="1" applyFill="1" applyBorder="1" applyAlignment="1">
      <alignment horizontal="center"/>
    </xf>
    <xf numFmtId="0" fontId="9" fillId="0" borderId="19" xfId="2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/>
    </xf>
    <xf numFmtId="0" fontId="9" fillId="0" borderId="27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/>
    </xf>
    <xf numFmtId="0" fontId="9" fillId="0" borderId="27" xfId="1" applyFont="1" applyFill="1" applyBorder="1" applyAlignment="1">
      <alignment horizontal="left" vertical="center"/>
    </xf>
    <xf numFmtId="0" fontId="9" fillId="0" borderId="19" xfId="1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25" xfId="0" applyFont="1" applyFill="1" applyBorder="1" applyAlignment="1">
      <alignment horizontal="left" vertical="center"/>
    </xf>
    <xf numFmtId="0" fontId="10" fillId="0" borderId="23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vertical="center"/>
    </xf>
    <xf numFmtId="0" fontId="11" fillId="0" borderId="23" xfId="0" applyFont="1" applyFill="1" applyBorder="1" applyAlignment="1">
      <alignment horizontal="left" vertical="center" wrapText="1"/>
    </xf>
    <xf numFmtId="0" fontId="11" fillId="0" borderId="31" xfId="0" applyFont="1" applyFill="1" applyBorder="1" applyAlignment="1">
      <alignment vertical="center" wrapText="1"/>
    </xf>
    <xf numFmtId="0" fontId="7" fillId="0" borderId="24" xfId="0" applyFont="1" applyFill="1" applyBorder="1" applyAlignment="1">
      <alignment horizontal="left"/>
    </xf>
    <xf numFmtId="0" fontId="7" fillId="0" borderId="24" xfId="0" applyFont="1" applyFill="1" applyBorder="1"/>
    <xf numFmtId="0" fontId="10" fillId="0" borderId="24" xfId="2" quotePrefix="1" applyFont="1" applyFill="1" applyBorder="1" applyAlignment="1">
      <alignment horizontal="left" vertical="center"/>
    </xf>
    <xf numFmtId="0" fontId="10" fillId="0" borderId="30" xfId="2" applyFont="1" applyFill="1" applyBorder="1" applyAlignment="1">
      <alignment vertical="center"/>
    </xf>
    <xf numFmtId="0" fontId="9" fillId="0" borderId="26" xfId="1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center" vertical="center"/>
    </xf>
    <xf numFmtId="0" fontId="9" fillId="0" borderId="31" xfId="1" applyFont="1" applyFill="1" applyBorder="1" applyAlignment="1">
      <alignment horizontal="left" vertical="center"/>
    </xf>
    <xf numFmtId="0" fontId="11" fillId="0" borderId="12" xfId="0" applyFont="1" applyFill="1" applyBorder="1"/>
    <xf numFmtId="0" fontId="11" fillId="0" borderId="32" xfId="2" applyFont="1" applyFill="1" applyBorder="1" applyAlignment="1">
      <alignment vertical="center"/>
    </xf>
    <xf numFmtId="0" fontId="11" fillId="0" borderId="25" xfId="0" applyFont="1" applyFill="1" applyBorder="1"/>
    <xf numFmtId="0" fontId="11" fillId="0" borderId="24" xfId="2" quotePrefix="1" applyFont="1" applyFill="1" applyBorder="1" applyAlignment="1">
      <alignment horizontal="center" vertical="center"/>
    </xf>
    <xf numFmtId="0" fontId="11" fillId="0" borderId="15" xfId="0" applyFont="1" applyFill="1" applyBorder="1"/>
    <xf numFmtId="0" fontId="11" fillId="0" borderId="16" xfId="0" applyFont="1" applyFill="1" applyBorder="1"/>
    <xf numFmtId="0" fontId="11" fillId="0" borderId="6" xfId="2" applyFont="1" applyFill="1" applyBorder="1" applyAlignment="1">
      <alignment vertical="center"/>
    </xf>
    <xf numFmtId="0" fontId="10" fillId="0" borderId="24" xfId="2" quotePrefix="1" applyFont="1" applyFill="1" applyBorder="1" applyAlignment="1">
      <alignment vertical="center" wrapText="1"/>
    </xf>
    <xf numFmtId="0" fontId="10" fillId="0" borderId="6" xfId="2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4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7" xfId="1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3" borderId="12" xfId="4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/>
    </xf>
    <xf numFmtId="0" fontId="18" fillId="3" borderId="36" xfId="0" applyFont="1" applyFill="1" applyBorder="1"/>
    <xf numFmtId="0" fontId="18" fillId="3" borderId="1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 wrapText="1"/>
    </xf>
    <xf numFmtId="49" fontId="9" fillId="3" borderId="23" xfId="0" applyNumberFormat="1" applyFont="1" applyFill="1" applyBorder="1" applyAlignment="1">
      <alignment horizontal="center" vertical="center"/>
    </xf>
    <xf numFmtId="49" fontId="9" fillId="3" borderId="19" xfId="0" applyNumberFormat="1" applyFont="1" applyFill="1" applyBorder="1" applyAlignment="1">
      <alignment horizontal="center" vertical="center"/>
    </xf>
    <xf numFmtId="49" fontId="9" fillId="3" borderId="20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vertical="center"/>
    </xf>
    <xf numFmtId="0" fontId="0" fillId="0" borderId="47" xfId="0" applyBorder="1"/>
    <xf numFmtId="0" fontId="0" fillId="0" borderId="44" xfId="0" applyBorder="1"/>
    <xf numFmtId="0" fontId="0" fillId="0" borderId="41" xfId="0" applyBorder="1"/>
    <xf numFmtId="0" fontId="0" fillId="0" borderId="45" xfId="0" applyBorder="1"/>
    <xf numFmtId="0" fontId="0" fillId="0" borderId="49" xfId="0" applyBorder="1"/>
    <xf numFmtId="0" fontId="0" fillId="0" borderId="46" xfId="0" applyBorder="1"/>
    <xf numFmtId="0" fontId="0" fillId="0" borderId="51" xfId="0" applyBorder="1"/>
    <xf numFmtId="0" fontId="0" fillId="0" borderId="42" xfId="0" applyBorder="1"/>
    <xf numFmtId="0" fontId="0" fillId="0" borderId="52" xfId="0" applyBorder="1"/>
    <xf numFmtId="0" fontId="18" fillId="0" borderId="31" xfId="0" applyFont="1" applyFill="1" applyBorder="1" applyAlignment="1">
      <alignment horizontal="center"/>
    </xf>
    <xf numFmtId="0" fontId="18" fillId="0" borderId="31" xfId="0" applyFont="1" applyFill="1" applyBorder="1"/>
    <xf numFmtId="0" fontId="18" fillId="0" borderId="32" xfId="0" applyFont="1" applyFill="1" applyBorder="1" applyAlignment="1">
      <alignment horizontal="center"/>
    </xf>
    <xf numFmtId="0" fontId="18" fillId="0" borderId="32" xfId="0" applyFont="1" applyFill="1" applyBorder="1"/>
    <xf numFmtId="0" fontId="18" fillId="0" borderId="33" xfId="0" applyFont="1" applyFill="1" applyBorder="1" applyAlignment="1">
      <alignment horizontal="center"/>
    </xf>
    <xf numFmtId="0" fontId="18" fillId="0" borderId="33" xfId="0" applyFont="1" applyFill="1" applyBorder="1"/>
    <xf numFmtId="0" fontId="18" fillId="0" borderId="23" xfId="0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/>
    </xf>
    <xf numFmtId="0" fontId="18" fillId="0" borderId="25" xfId="0" applyFont="1" applyFill="1" applyBorder="1" applyAlignment="1">
      <alignment horizontal="center"/>
    </xf>
    <xf numFmtId="0" fontId="10" fillId="0" borderId="36" xfId="2" applyFont="1" applyFill="1" applyBorder="1" applyAlignment="1">
      <alignment horizontal="center" vertical="center"/>
    </xf>
    <xf numFmtId="0" fontId="10" fillId="0" borderId="36" xfId="2" applyFont="1" applyFill="1" applyBorder="1" applyAlignment="1">
      <alignment vertical="center"/>
    </xf>
    <xf numFmtId="0" fontId="10" fillId="0" borderId="32" xfId="2" applyFont="1" applyFill="1" applyBorder="1" applyAlignment="1">
      <alignment horizontal="center" vertical="center"/>
    </xf>
    <xf numFmtId="0" fontId="10" fillId="0" borderId="32" xfId="2" applyFont="1" applyFill="1" applyBorder="1" applyAlignment="1">
      <alignment horizontal="left" vertical="center"/>
    </xf>
    <xf numFmtId="0" fontId="10" fillId="0" borderId="33" xfId="2" applyFont="1" applyFill="1" applyBorder="1" applyAlignment="1">
      <alignment horizontal="center" vertical="center"/>
    </xf>
    <xf numFmtId="0" fontId="10" fillId="0" borderId="33" xfId="2" applyFont="1" applyFill="1" applyBorder="1" applyAlignment="1">
      <alignment vertical="center"/>
    </xf>
    <xf numFmtId="0" fontId="10" fillId="0" borderId="42" xfId="2" applyFont="1" applyFill="1" applyBorder="1" applyAlignment="1">
      <alignment horizontal="left" vertical="center"/>
    </xf>
    <xf numFmtId="0" fontId="9" fillId="0" borderId="42" xfId="2" applyFont="1" applyFill="1" applyBorder="1" applyAlignment="1">
      <alignment vertical="center"/>
    </xf>
    <xf numFmtId="0" fontId="9" fillId="3" borderId="35" xfId="0" applyFont="1" applyFill="1" applyBorder="1" applyAlignment="1">
      <alignment horizontal="center" vertical="center"/>
    </xf>
    <xf numFmtId="0" fontId="9" fillId="0" borderId="52" xfId="2" applyFont="1" applyFill="1" applyBorder="1" applyAlignment="1">
      <alignment vertical="center"/>
    </xf>
    <xf numFmtId="0" fontId="9" fillId="3" borderId="54" xfId="0" applyFont="1" applyFill="1" applyBorder="1" applyAlignment="1">
      <alignment horizontal="center" vertical="center"/>
    </xf>
    <xf numFmtId="0" fontId="11" fillId="3" borderId="51" xfId="0" applyFont="1" applyFill="1" applyBorder="1" applyAlignment="1"/>
    <xf numFmtId="0" fontId="9" fillId="3" borderId="42" xfId="0" applyFont="1" applyFill="1" applyBorder="1" applyAlignment="1">
      <alignment horizontal="left" vertical="center"/>
    </xf>
    <xf numFmtId="0" fontId="9" fillId="3" borderId="42" xfId="0" applyFont="1" applyFill="1" applyBorder="1" applyAlignment="1">
      <alignment vertical="center"/>
    </xf>
    <xf numFmtId="0" fontId="9" fillId="3" borderId="52" xfId="0" applyFont="1" applyFill="1" applyBorder="1" applyAlignment="1">
      <alignment vertical="center"/>
    </xf>
    <xf numFmtId="0" fontId="9" fillId="0" borderId="53" xfId="2" applyFont="1" applyFill="1" applyBorder="1" applyAlignment="1">
      <alignment horizontal="center" vertical="center"/>
    </xf>
    <xf numFmtId="0" fontId="10" fillId="0" borderId="35" xfId="2" applyFont="1" applyFill="1" applyBorder="1" applyAlignment="1">
      <alignment horizontal="center" vertical="center"/>
    </xf>
    <xf numFmtId="0" fontId="9" fillId="0" borderId="35" xfId="2" applyFont="1" applyFill="1" applyBorder="1" applyAlignment="1">
      <alignment horizontal="center" vertical="center"/>
    </xf>
    <xf numFmtId="0" fontId="9" fillId="0" borderId="54" xfId="2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/>
    </xf>
    <xf numFmtId="0" fontId="11" fillId="3" borderId="43" xfId="0" applyFont="1" applyFill="1" applyBorder="1"/>
    <xf numFmtId="0" fontId="9" fillId="0" borderId="40" xfId="2" applyFont="1" applyFill="1" applyBorder="1" applyAlignment="1">
      <alignment horizontal="center" vertical="center"/>
    </xf>
    <xf numFmtId="0" fontId="9" fillId="0" borderId="55" xfId="2" applyFont="1" applyFill="1" applyBorder="1" applyAlignment="1">
      <alignment horizontal="left" vertical="center"/>
    </xf>
    <xf numFmtId="0" fontId="9" fillId="0" borderId="48" xfId="2" applyFont="1" applyFill="1" applyBorder="1" applyAlignment="1">
      <alignment horizontal="left" vertical="center"/>
    </xf>
    <xf numFmtId="0" fontId="10" fillId="0" borderId="38" xfId="2" applyFont="1" applyFill="1" applyBorder="1" applyAlignment="1">
      <alignment horizontal="left" vertical="center"/>
    </xf>
    <xf numFmtId="0" fontId="9" fillId="0" borderId="38" xfId="2" applyFont="1" applyFill="1" applyBorder="1" applyAlignment="1">
      <alignment vertical="center"/>
    </xf>
    <xf numFmtId="0" fontId="9" fillId="0" borderId="50" xfId="2" applyFont="1" applyFill="1" applyBorder="1" applyAlignment="1">
      <alignment vertical="center"/>
    </xf>
    <xf numFmtId="0" fontId="0" fillId="5" borderId="0" xfId="0" applyFill="1"/>
    <xf numFmtId="0" fontId="11" fillId="0" borderId="51" xfId="0" applyFont="1" applyFill="1" applyBorder="1" applyAlignment="1">
      <alignment vertical="center"/>
    </xf>
    <xf numFmtId="0" fontId="11" fillId="0" borderId="42" xfId="0" applyFont="1" applyFill="1" applyBorder="1" applyAlignment="1">
      <alignment vertical="center"/>
    </xf>
    <xf numFmtId="0" fontId="11" fillId="0" borderId="52" xfId="0" applyFont="1" applyFill="1" applyBorder="1" applyAlignment="1">
      <alignment vertical="center"/>
    </xf>
    <xf numFmtId="0" fontId="11" fillId="0" borderId="32" xfId="1" applyFont="1" applyFill="1" applyBorder="1" applyAlignment="1">
      <alignment horizontal="center" vertical="center"/>
    </xf>
    <xf numFmtId="0" fontId="11" fillId="0" borderId="33" xfId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left" vertical="center"/>
    </xf>
    <xf numFmtId="0" fontId="11" fillId="3" borderId="47" xfId="0" applyFont="1" applyFill="1" applyBorder="1" applyAlignment="1">
      <alignment horizontal="center"/>
    </xf>
    <xf numFmtId="0" fontId="9" fillId="3" borderId="49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vertical="center"/>
    </xf>
    <xf numFmtId="0" fontId="10" fillId="0" borderId="19" xfId="2" applyFont="1" applyFill="1" applyBorder="1" applyAlignment="1">
      <alignment horizontal="left" vertical="center"/>
    </xf>
    <xf numFmtId="0" fontId="11" fillId="0" borderId="31" xfId="0" applyFont="1" applyFill="1" applyBorder="1" applyAlignment="1">
      <alignment vertical="center"/>
    </xf>
    <xf numFmtId="0" fontId="11" fillId="0" borderId="32" xfId="0" applyFont="1" applyFill="1" applyBorder="1" applyAlignment="1">
      <alignment vertical="center"/>
    </xf>
    <xf numFmtId="0" fontId="11" fillId="0" borderId="22" xfId="0" applyFont="1" applyFill="1" applyBorder="1" applyAlignment="1">
      <alignment vertical="center"/>
    </xf>
    <xf numFmtId="0" fontId="11" fillId="0" borderId="33" xfId="0" applyFont="1" applyFill="1" applyBorder="1" applyAlignment="1">
      <alignment vertical="center"/>
    </xf>
    <xf numFmtId="0" fontId="9" fillId="3" borderId="22" xfId="0" applyFont="1" applyFill="1" applyBorder="1" applyAlignment="1">
      <alignment horizontal="left" vertical="center" wrapText="1"/>
    </xf>
    <xf numFmtId="0" fontId="8" fillId="4" borderId="61" xfId="0" applyFont="1" applyFill="1" applyBorder="1" applyAlignment="1">
      <alignment horizontal="center" vertical="center"/>
    </xf>
    <xf numFmtId="0" fontId="8" fillId="4" borderId="6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3" fillId="2" borderId="0" xfId="1" applyFont="1" applyFill="1" applyAlignment="1">
      <alignment horizontal="right"/>
    </xf>
    <xf numFmtId="0" fontId="13" fillId="2" borderId="0" xfId="2" applyFont="1" applyFill="1" applyAlignment="1">
      <alignment horizontal="left"/>
    </xf>
    <xf numFmtId="0" fontId="11" fillId="0" borderId="1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0" borderId="19" xfId="5" applyFont="1" applyFill="1" applyBorder="1" applyAlignment="1">
      <alignment horizontal="center" vertical="center"/>
    </xf>
    <xf numFmtId="0" fontId="10" fillId="0" borderId="19" xfId="5" applyFont="1" applyFill="1" applyBorder="1" applyAlignment="1">
      <alignment vertical="center"/>
    </xf>
    <xf numFmtId="0" fontId="24" fillId="0" borderId="23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left" vertical="center" wrapText="1"/>
    </xf>
    <xf numFmtId="0" fontId="10" fillId="0" borderId="31" xfId="4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 vertical="center" wrapText="1"/>
    </xf>
    <xf numFmtId="0" fontId="10" fillId="0" borderId="32" xfId="4" applyFont="1" applyFill="1" applyBorder="1" applyAlignment="1">
      <alignment horizontal="center" vertical="center"/>
    </xf>
    <xf numFmtId="0" fontId="10" fillId="0" borderId="24" xfId="5" applyFont="1" applyFill="1" applyBorder="1" applyAlignment="1">
      <alignment horizontal="center" vertical="center"/>
    </xf>
    <xf numFmtId="0" fontId="10" fillId="0" borderId="24" xfId="5" applyFont="1" applyFill="1" applyBorder="1" applyAlignment="1">
      <alignment vertical="center"/>
    </xf>
    <xf numFmtId="0" fontId="10" fillId="0" borderId="25" xfId="5" applyFont="1" applyFill="1" applyBorder="1" applyAlignment="1">
      <alignment horizontal="center" vertical="center"/>
    </xf>
    <xf numFmtId="0" fontId="10" fillId="0" borderId="25" xfId="5" applyFont="1" applyFill="1" applyBorder="1" applyAlignment="1">
      <alignment vertical="center"/>
    </xf>
    <xf numFmtId="0" fontId="24" fillId="0" borderId="25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left" vertical="center" wrapText="1"/>
    </xf>
    <xf numFmtId="0" fontId="10" fillId="0" borderId="25" xfId="4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vertical="center"/>
    </xf>
    <xf numFmtId="0" fontId="9" fillId="0" borderId="25" xfId="0" applyFont="1" applyFill="1" applyBorder="1" applyAlignment="1">
      <alignment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vertical="center"/>
    </xf>
    <xf numFmtId="0" fontId="10" fillId="0" borderId="44" xfId="4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  <xf numFmtId="0" fontId="11" fillId="0" borderId="35" xfId="0" applyFont="1" applyFill="1" applyBorder="1"/>
    <xf numFmtId="0" fontId="10" fillId="0" borderId="45" xfId="4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left" vertical="center"/>
    </xf>
    <xf numFmtId="0" fontId="7" fillId="0" borderId="49" xfId="0" applyFont="1" applyFill="1" applyBorder="1" applyAlignment="1">
      <alignment horizontal="center" vertical="center"/>
    </xf>
    <xf numFmtId="49" fontId="9" fillId="0" borderId="50" xfId="0" applyNumberFormat="1" applyFont="1" applyFill="1" applyBorder="1" applyAlignment="1">
      <alignment horizontal="center" vertical="center"/>
    </xf>
    <xf numFmtId="0" fontId="9" fillId="0" borderId="54" xfId="0" applyFont="1" applyFill="1" applyBorder="1" applyAlignment="1">
      <alignment vertical="center"/>
    </xf>
    <xf numFmtId="0" fontId="10" fillId="0" borderId="46" xfId="4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49" fontId="9" fillId="0" borderId="48" xfId="0" applyNumberFormat="1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49" fontId="9" fillId="0" borderId="38" xfId="0" applyNumberFormat="1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vertical="center"/>
    </xf>
    <xf numFmtId="0" fontId="11" fillId="0" borderId="27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vertical="center"/>
    </xf>
    <xf numFmtId="0" fontId="9" fillId="0" borderId="27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9" fillId="0" borderId="24" xfId="3" applyFont="1" applyFill="1" applyBorder="1" applyAlignment="1">
      <alignment vertical="center"/>
    </xf>
    <xf numFmtId="0" fontId="11" fillId="0" borderId="3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center"/>
    </xf>
    <xf numFmtId="0" fontId="9" fillId="0" borderId="31" xfId="0" applyFont="1" applyFill="1" applyBorder="1" applyAlignment="1">
      <alignment horizontal="left" vertical="center"/>
    </xf>
    <xf numFmtId="0" fontId="9" fillId="0" borderId="32" xfId="3" applyFont="1" applyFill="1" applyBorder="1" applyAlignment="1">
      <alignment vertical="center"/>
    </xf>
    <xf numFmtId="0" fontId="9" fillId="0" borderId="24" xfId="0" quotePrefix="1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51" xfId="0" applyFont="1" applyFill="1" applyBorder="1" applyAlignment="1">
      <alignment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vertical="center"/>
    </xf>
    <xf numFmtId="0" fontId="9" fillId="0" borderId="54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4" xfId="5" quotePrefix="1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vertical="center"/>
    </xf>
    <xf numFmtId="0" fontId="11" fillId="0" borderId="25" xfId="0" quotePrefix="1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vertical="center"/>
    </xf>
    <xf numFmtId="0" fontId="9" fillId="0" borderId="23" xfId="1" applyFont="1" applyFill="1" applyBorder="1" applyAlignment="1">
      <alignment horizontal="left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24" xfId="1" applyFont="1" applyFill="1" applyBorder="1" applyAlignment="1">
      <alignment horizontal="left" vertical="center"/>
    </xf>
    <xf numFmtId="0" fontId="10" fillId="0" borderId="25" xfId="2" applyFont="1" applyFill="1" applyBorder="1" applyAlignment="1">
      <alignment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left" vertical="center"/>
    </xf>
    <xf numFmtId="0" fontId="10" fillId="0" borderId="19" xfId="2" applyFont="1" applyFill="1" applyBorder="1" applyAlignment="1">
      <alignment vertical="center"/>
    </xf>
    <xf numFmtId="0" fontId="11" fillId="0" borderId="19" xfId="0" quotePrefix="1" applyFont="1" applyFill="1" applyBorder="1" applyAlignment="1">
      <alignment horizontal="left"/>
    </xf>
    <xf numFmtId="0" fontId="11" fillId="0" borderId="19" xfId="0" applyFont="1" applyFill="1" applyBorder="1"/>
    <xf numFmtId="0" fontId="11" fillId="0" borderId="24" xfId="0" quotePrefix="1" applyFont="1" applyFill="1" applyBorder="1" applyAlignment="1">
      <alignment horizontal="left"/>
    </xf>
    <xf numFmtId="0" fontId="11" fillId="0" borderId="24" xfId="0" applyFont="1" applyFill="1" applyBorder="1"/>
    <xf numFmtId="0" fontId="11" fillId="0" borderId="25" xfId="0" quotePrefix="1" applyFont="1" applyFill="1" applyBorder="1" applyAlignment="1">
      <alignment horizontal="left"/>
    </xf>
    <xf numFmtId="0" fontId="11" fillId="0" borderId="17" xfId="0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/>
    </xf>
    <xf numFmtId="0" fontId="14" fillId="3" borderId="0" xfId="2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Border="1"/>
    <xf numFmtId="0" fontId="20" fillId="0" borderId="7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27" fillId="0" borderId="23" xfId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0" fontId="27" fillId="0" borderId="25" xfId="2" applyFont="1" applyFill="1" applyBorder="1" applyAlignment="1">
      <alignment horizontal="center" vertical="center"/>
    </xf>
    <xf numFmtId="0" fontId="27" fillId="0" borderId="23" xfId="2" applyFont="1" applyFill="1" applyBorder="1" applyAlignment="1">
      <alignment horizontal="center" vertical="center"/>
    </xf>
    <xf numFmtId="0" fontId="27" fillId="0" borderId="24" xfId="2" applyFont="1" applyFill="1" applyBorder="1" applyAlignment="1">
      <alignment horizontal="center" vertical="center"/>
    </xf>
    <xf numFmtId="0" fontId="28" fillId="0" borderId="23" xfId="1" applyFont="1" applyFill="1" applyBorder="1" applyAlignment="1">
      <alignment horizontal="center" vertical="center"/>
    </xf>
    <xf numFmtId="0" fontId="28" fillId="0" borderId="24" xfId="1" applyFont="1" applyFill="1" applyBorder="1" applyAlignment="1">
      <alignment horizontal="center" vertical="center"/>
    </xf>
    <xf numFmtId="0" fontId="28" fillId="0" borderId="25" xfId="2" applyFont="1" applyFill="1" applyBorder="1" applyAlignment="1">
      <alignment horizontal="center" vertical="center"/>
    </xf>
    <xf numFmtId="0" fontId="1" fillId="0" borderId="23" xfId="1" applyFont="1" applyFill="1" applyBorder="1" applyAlignment="1">
      <alignment horizontal="center" vertical="center"/>
    </xf>
    <xf numFmtId="0" fontId="1" fillId="0" borderId="25" xfId="2" applyFont="1" applyFill="1" applyBorder="1" applyAlignment="1">
      <alignment horizontal="center" vertical="center"/>
    </xf>
    <xf numFmtId="0" fontId="28" fillId="0" borderId="0" xfId="1" applyFont="1" applyFill="1" applyBorder="1" applyAlignment="1">
      <alignment vertical="center"/>
    </xf>
    <xf numFmtId="0" fontId="12" fillId="2" borderId="0" xfId="1" applyFont="1" applyFill="1" applyAlignment="1">
      <alignment horizontal="center"/>
    </xf>
    <xf numFmtId="0" fontId="29" fillId="0" borderId="36" xfId="2" applyFont="1" applyFill="1" applyBorder="1" applyAlignment="1">
      <alignment vertical="center"/>
    </xf>
    <xf numFmtId="0" fontId="25" fillId="0" borderId="32" xfId="1" applyFont="1" applyFill="1" applyBorder="1" applyAlignment="1">
      <alignment horizontal="left" vertical="center"/>
    </xf>
    <xf numFmtId="0" fontId="27" fillId="0" borderId="32" xfId="1" applyFont="1" applyFill="1" applyBorder="1" applyAlignment="1">
      <alignment vertical="center"/>
    </xf>
    <xf numFmtId="0" fontId="27" fillId="0" borderId="24" xfId="2" applyFont="1" applyFill="1" applyBorder="1" applyAlignment="1">
      <alignment vertical="center"/>
    </xf>
    <xf numFmtId="0" fontId="27" fillId="0" borderId="18" xfId="2" applyFont="1" applyFill="1" applyBorder="1" applyAlignment="1">
      <alignment vertical="center"/>
    </xf>
    <xf numFmtId="0" fontId="29" fillId="0" borderId="0" xfId="2" applyFont="1" applyFill="1" applyBorder="1" applyAlignment="1">
      <alignment vertical="center"/>
    </xf>
    <xf numFmtId="0" fontId="27" fillId="0" borderId="0" xfId="2" applyFont="1" applyFill="1" applyBorder="1" applyAlignment="1">
      <alignment vertical="center"/>
    </xf>
    <xf numFmtId="0" fontId="26" fillId="2" borderId="0" xfId="1" applyFont="1" applyFill="1"/>
    <xf numFmtId="0" fontId="30" fillId="0" borderId="0" xfId="1" applyFont="1"/>
    <xf numFmtId="0" fontId="26" fillId="2" borderId="0" xfId="1" applyFont="1" applyFill="1" applyAlignment="1">
      <alignment horizontal="left"/>
    </xf>
    <xf numFmtId="0" fontId="25" fillId="0" borderId="24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29" fillId="0" borderId="17" xfId="2" applyFont="1" applyFill="1" applyBorder="1" applyAlignment="1">
      <alignment horizontal="center" vertical="center"/>
    </xf>
    <xf numFmtId="0" fontId="25" fillId="0" borderId="24" xfId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29" fillId="0" borderId="0" xfId="2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25" fillId="0" borderId="29" xfId="0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0" fontId="25" fillId="0" borderId="30" xfId="0" applyFont="1" applyFill="1" applyBorder="1" applyAlignment="1">
      <alignment horizontal="center" vertical="center"/>
    </xf>
    <xf numFmtId="0" fontId="25" fillId="0" borderId="23" xfId="0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5" fillId="0" borderId="25" xfId="0" applyFont="1" applyFill="1" applyBorder="1" applyAlignment="1">
      <alignment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17" xfId="2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/>
    </xf>
    <xf numFmtId="0" fontId="11" fillId="3" borderId="17" xfId="2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vertical="center"/>
    </xf>
    <xf numFmtId="0" fontId="11" fillId="0" borderId="18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0" borderId="2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left" vertical="center" wrapText="1"/>
    </xf>
    <xf numFmtId="0" fontId="27" fillId="0" borderId="7" xfId="2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left" vertical="center" wrapText="1"/>
    </xf>
    <xf numFmtId="0" fontId="27" fillId="0" borderId="6" xfId="2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29" fillId="0" borderId="19" xfId="2" applyFont="1" applyFill="1" applyBorder="1" applyAlignment="1">
      <alignment horizontal="center" vertical="center"/>
    </xf>
    <xf numFmtId="0" fontId="29" fillId="0" borderId="19" xfId="2" applyFont="1" applyFill="1" applyBorder="1" applyAlignment="1">
      <alignment vertical="center"/>
    </xf>
    <xf numFmtId="0" fontId="18" fillId="0" borderId="19" xfId="0" applyFont="1" applyFill="1" applyBorder="1" applyAlignment="1">
      <alignment horizontal="center"/>
    </xf>
    <xf numFmtId="0" fontId="17" fillId="0" borderId="7" xfId="0" applyFont="1" applyFill="1" applyBorder="1"/>
    <xf numFmtId="0" fontId="28" fillId="0" borderId="7" xfId="2" applyFont="1" applyFill="1" applyBorder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29" fillId="0" borderId="24" xfId="2" applyFont="1" applyFill="1" applyBorder="1" applyAlignment="1">
      <alignment horizontal="center" vertical="center"/>
    </xf>
    <xf numFmtId="0" fontId="29" fillId="0" borderId="24" xfId="2" applyFont="1" applyFill="1" applyBorder="1" applyAlignment="1">
      <alignment vertical="center"/>
    </xf>
    <xf numFmtId="0" fontId="17" fillId="0" borderId="6" xfId="0" applyFont="1" applyFill="1" applyBorder="1"/>
    <xf numFmtId="0" fontId="28" fillId="0" borderId="6" xfId="2" applyFont="1" applyFill="1" applyBorder="1" applyAlignment="1">
      <alignment horizontal="center" vertical="center"/>
    </xf>
    <xf numFmtId="0" fontId="29" fillId="0" borderId="25" xfId="2" applyFont="1" applyFill="1" applyBorder="1" applyAlignment="1">
      <alignment horizontal="center" vertical="center"/>
    </xf>
    <xf numFmtId="0" fontId="29" fillId="0" borderId="25" xfId="2" applyFont="1" applyFill="1" applyBorder="1" applyAlignment="1">
      <alignment vertical="center"/>
    </xf>
    <xf numFmtId="0" fontId="17" fillId="0" borderId="22" xfId="0" applyFont="1" applyFill="1" applyBorder="1"/>
    <xf numFmtId="0" fontId="28" fillId="0" borderId="22" xfId="2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center" vertical="center"/>
    </xf>
    <xf numFmtId="0" fontId="8" fillId="4" borderId="63" xfId="2" applyFont="1" applyFill="1" applyBorder="1" applyAlignment="1">
      <alignment horizontal="center" vertical="center"/>
    </xf>
    <xf numFmtId="0" fontId="8" fillId="4" borderId="56" xfId="2" applyFont="1" applyFill="1" applyBorder="1" applyAlignment="1">
      <alignment horizontal="center" vertical="center"/>
    </xf>
    <xf numFmtId="0" fontId="8" fillId="4" borderId="66" xfId="2" applyFont="1" applyFill="1" applyBorder="1" applyAlignment="1">
      <alignment horizontal="center" vertical="center"/>
    </xf>
    <xf numFmtId="0" fontId="7" fillId="0" borderId="0" xfId="0" applyFont="1" applyFill="1" applyBorder="1"/>
    <xf numFmtId="0" fontId="11" fillId="0" borderId="18" xfId="1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14" xfId="1" applyFont="1" applyFill="1" applyBorder="1" applyAlignment="1">
      <alignment horizontal="left" vertical="center"/>
    </xf>
    <xf numFmtId="0" fontId="8" fillId="4" borderId="56" xfId="2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24" xfId="0" applyFont="1" applyFill="1" applyBorder="1" applyAlignment="1">
      <alignment horizontal="center" vertical="center" shrinkToFit="1"/>
    </xf>
    <xf numFmtId="0" fontId="10" fillId="0" borderId="17" xfId="0" applyFont="1" applyFill="1" applyBorder="1" applyAlignment="1">
      <alignment horizontal="center" vertical="center" shrinkToFit="1"/>
    </xf>
    <xf numFmtId="0" fontId="11" fillId="0" borderId="17" xfId="0" applyFont="1" applyFill="1" applyBorder="1" applyAlignment="1">
      <alignment horizontal="center" shrinkToFit="1"/>
    </xf>
    <xf numFmtId="0" fontId="10" fillId="0" borderId="20" xfId="0" applyFont="1" applyFill="1" applyBorder="1" applyAlignment="1">
      <alignment horizontal="center" vertical="center" shrinkToFit="1"/>
    </xf>
    <xf numFmtId="0" fontId="10" fillId="0" borderId="25" xfId="0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" fillId="2" borderId="0" xfId="2" applyFont="1" applyFill="1" applyAlignment="1">
      <alignment horizontal="center" shrinkToFit="1"/>
    </xf>
    <xf numFmtId="0" fontId="11" fillId="0" borderId="23" xfId="0" applyFont="1" applyFill="1" applyBorder="1" applyAlignment="1">
      <alignment horizontal="center" shrinkToFit="1"/>
    </xf>
    <xf numFmtId="0" fontId="11" fillId="0" borderId="24" xfId="0" applyFont="1" applyFill="1" applyBorder="1" applyAlignment="1">
      <alignment horizontal="center" shrinkToFit="1"/>
    </xf>
    <xf numFmtId="0" fontId="11" fillId="0" borderId="25" xfId="0" applyFont="1" applyFill="1" applyBorder="1" applyAlignment="1">
      <alignment horizontal="center" shrinkToFit="1"/>
    </xf>
    <xf numFmtId="0" fontId="11" fillId="0" borderId="17" xfId="2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25" fillId="0" borderId="26" xfId="0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vertical="center"/>
    </xf>
    <xf numFmtId="0" fontId="25" fillId="0" borderId="2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0" fontId="25" fillId="0" borderId="15" xfId="0" applyFont="1" applyFill="1" applyBorder="1" applyAlignment="1">
      <alignment vertical="center"/>
    </xf>
    <xf numFmtId="0" fontId="25" fillId="0" borderId="28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0" fontId="25" fillId="0" borderId="20" xfId="1" applyFont="1" applyFill="1" applyBorder="1" applyAlignment="1">
      <alignment horizontal="center" vertical="center"/>
    </xf>
    <xf numFmtId="0" fontId="25" fillId="0" borderId="43" xfId="1" applyFont="1" applyFill="1" applyBorder="1" applyAlignment="1">
      <alignment horizontal="left" vertical="center"/>
    </xf>
    <xf numFmtId="0" fontId="27" fillId="0" borderId="17" xfId="2" applyFont="1" applyFill="1" applyBorder="1" applyAlignment="1">
      <alignment horizontal="center" vertical="center"/>
    </xf>
    <xf numFmtId="0" fontId="27" fillId="0" borderId="17" xfId="2" applyFont="1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32" xfId="0" applyFont="1" applyFill="1" applyBorder="1" applyAlignment="1">
      <alignment vertical="center"/>
    </xf>
    <xf numFmtId="0" fontId="1" fillId="0" borderId="33" xfId="0" applyFont="1" applyFill="1" applyBorder="1" applyAlignment="1">
      <alignment vertical="center"/>
    </xf>
    <xf numFmtId="0" fontId="27" fillId="0" borderId="21" xfId="2" applyFont="1" applyFill="1" applyBorder="1" applyAlignment="1">
      <alignment vertical="center"/>
    </xf>
    <xf numFmtId="0" fontId="27" fillId="0" borderId="6" xfId="2" applyFont="1" applyFill="1" applyBorder="1" applyAlignment="1">
      <alignment vertical="center"/>
    </xf>
    <xf numFmtId="0" fontId="27" fillId="0" borderId="1" xfId="2" applyFont="1" applyFill="1" applyBorder="1" applyAlignment="1">
      <alignment vertical="center"/>
    </xf>
    <xf numFmtId="0" fontId="27" fillId="0" borderId="48" xfId="2" applyFont="1" applyFill="1" applyBorder="1" applyAlignment="1">
      <alignment horizontal="center" vertical="center"/>
    </xf>
    <xf numFmtId="0" fontId="27" fillId="0" borderId="38" xfId="2" applyFont="1" applyFill="1" applyBorder="1" applyAlignment="1">
      <alignment horizontal="center" vertical="center"/>
    </xf>
    <xf numFmtId="0" fontId="27" fillId="0" borderId="50" xfId="2" applyFont="1" applyFill="1" applyBorder="1" applyAlignment="1">
      <alignment horizontal="center" vertical="center"/>
    </xf>
    <xf numFmtId="0" fontId="27" fillId="0" borderId="33" xfId="2" applyFont="1" applyFill="1" applyBorder="1" applyAlignment="1">
      <alignment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center" vertical="center" wrapText="1"/>
    </xf>
    <xf numFmtId="0" fontId="11" fillId="0" borderId="17" xfId="1" applyFont="1" applyFill="1" applyBorder="1" applyAlignment="1">
      <alignment horizontal="center" vertical="center" wrapText="1"/>
    </xf>
    <xf numFmtId="0" fontId="11" fillId="0" borderId="18" xfId="1" applyFont="1" applyFill="1" applyBorder="1" applyAlignment="1">
      <alignment horizontal="center" vertical="center" wrapText="1"/>
    </xf>
    <xf numFmtId="0" fontId="11" fillId="0" borderId="16" xfId="4" applyFont="1" applyFill="1" applyBorder="1" applyAlignment="1">
      <alignment horizontal="center" vertical="center" wrapText="1"/>
    </xf>
    <xf numFmtId="0" fontId="11" fillId="0" borderId="17" xfId="4" applyFont="1" applyFill="1" applyBorder="1" applyAlignment="1">
      <alignment horizontal="center" vertical="center" wrapText="1"/>
    </xf>
    <xf numFmtId="0" fontId="11" fillId="0" borderId="18" xfId="4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14" fillId="0" borderId="16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3" fillId="2" borderId="0" xfId="2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16" xfId="1" applyFont="1" applyFill="1" applyBorder="1" applyAlignment="1">
      <alignment horizontal="center" vertical="center" wrapText="1"/>
    </xf>
    <xf numFmtId="0" fontId="16" fillId="0" borderId="17" xfId="1" applyFont="1" applyFill="1" applyBorder="1" applyAlignment="1">
      <alignment horizontal="center" vertical="center" wrapText="1"/>
    </xf>
    <xf numFmtId="0" fontId="16" fillId="0" borderId="18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4" fillId="0" borderId="16" xfId="1" applyFont="1" applyFill="1" applyBorder="1" applyAlignment="1">
      <alignment horizontal="center" vertical="center"/>
    </xf>
    <xf numFmtId="0" fontId="21" fillId="7" borderId="8" xfId="1" applyFont="1" applyFill="1" applyBorder="1" applyAlignment="1">
      <alignment horizontal="center" vertical="center"/>
    </xf>
    <xf numFmtId="0" fontId="21" fillId="7" borderId="9" xfId="1" applyFont="1" applyFill="1" applyBorder="1" applyAlignment="1">
      <alignment horizontal="center" vertical="center"/>
    </xf>
    <xf numFmtId="0" fontId="21" fillId="7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16" fillId="0" borderId="16" xfId="1" applyFont="1" applyFill="1" applyBorder="1" applyAlignment="1">
      <alignment horizontal="center" vertical="center"/>
    </xf>
    <xf numFmtId="0" fontId="16" fillId="0" borderId="17" xfId="1" applyFont="1" applyFill="1" applyBorder="1" applyAlignment="1">
      <alignment horizontal="center" vertical="center"/>
    </xf>
    <xf numFmtId="0" fontId="16" fillId="0" borderId="18" xfId="1" applyFont="1" applyFill="1" applyBorder="1" applyAlignment="1">
      <alignment horizontal="center" vertical="center"/>
    </xf>
    <xf numFmtId="0" fontId="13" fillId="2" borderId="0" xfId="1" applyFont="1" applyFill="1" applyAlignment="1">
      <alignment horizontal="right"/>
    </xf>
    <xf numFmtId="0" fontId="13" fillId="3" borderId="0" xfId="1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13" fillId="2" borderId="0" xfId="2" applyFont="1" applyFill="1" applyAlignment="1">
      <alignment horizontal="right"/>
    </xf>
    <xf numFmtId="0" fontId="11" fillId="0" borderId="10" xfId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4" fillId="0" borderId="16" xfId="2" applyFont="1" applyFill="1" applyBorder="1" applyAlignment="1">
      <alignment horizontal="center" vertical="center"/>
    </xf>
    <xf numFmtId="0" fontId="11" fillId="0" borderId="8" xfId="2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4" fillId="0" borderId="8" xfId="2" applyFont="1" applyFill="1" applyBorder="1" applyAlignment="1">
      <alignment horizontal="center" vertical="center"/>
    </xf>
    <xf numFmtId="0" fontId="14" fillId="0" borderId="11" xfId="2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4" fillId="0" borderId="13" xfId="2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11" fillId="0" borderId="16" xfId="2" applyFont="1" applyFill="1" applyBorder="1" applyAlignment="1">
      <alignment horizontal="center" vertical="center"/>
    </xf>
    <xf numFmtId="0" fontId="14" fillId="0" borderId="16" xfId="2" applyFont="1" applyFill="1" applyBorder="1" applyAlignment="1">
      <alignment horizontal="center" vertical="center" wrapText="1"/>
    </xf>
    <xf numFmtId="0" fontId="16" fillId="0" borderId="16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/>
    </xf>
    <xf numFmtId="0" fontId="11" fillId="0" borderId="17" xfId="2" applyFont="1" applyFill="1" applyBorder="1" applyAlignment="1">
      <alignment horizontal="center" vertical="center"/>
    </xf>
    <xf numFmtId="0" fontId="14" fillId="0" borderId="17" xfId="2" applyFont="1" applyFill="1" applyBorder="1" applyAlignment="1">
      <alignment horizontal="center" vertical="center"/>
    </xf>
    <xf numFmtId="0" fontId="14" fillId="0" borderId="18" xfId="2" applyFont="1" applyFill="1" applyBorder="1" applyAlignment="1">
      <alignment horizontal="center" vertical="center"/>
    </xf>
    <xf numFmtId="0" fontId="13" fillId="0" borderId="23" xfId="2" applyFont="1" applyFill="1" applyBorder="1" applyAlignment="1">
      <alignment horizontal="center" vertical="center"/>
    </xf>
    <xf numFmtId="0" fontId="14" fillId="0" borderId="24" xfId="2" applyFont="1" applyFill="1" applyBorder="1" applyAlignment="1">
      <alignment horizontal="center" vertical="center"/>
    </xf>
    <xf numFmtId="0" fontId="14" fillId="0" borderId="25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3" fillId="4" borderId="0" xfId="2" applyFont="1" applyFill="1" applyBorder="1" applyAlignment="1">
      <alignment horizontal="center" vertical="center"/>
    </xf>
    <xf numFmtId="0" fontId="3" fillId="4" borderId="12" xfId="2" applyFont="1" applyFill="1" applyBorder="1" applyAlignment="1">
      <alignment horizontal="center" vertical="center"/>
    </xf>
    <xf numFmtId="0" fontId="14" fillId="0" borderId="17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/>
    </xf>
    <xf numFmtId="0" fontId="14" fillId="3" borderId="0" xfId="2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25" fillId="0" borderId="17" xfId="0" applyFont="1" applyFill="1" applyBorder="1" applyAlignment="1">
      <alignment vertical="center"/>
    </xf>
    <xf numFmtId="0" fontId="25" fillId="0" borderId="18" xfId="0" applyFont="1" applyFill="1" applyBorder="1" applyAlignment="1">
      <alignment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/>
    </xf>
    <xf numFmtId="0" fontId="15" fillId="0" borderId="17" xfId="5" applyFont="1" applyFill="1" applyBorder="1" applyAlignment="1">
      <alignment horizontal="center" vertical="center"/>
    </xf>
    <xf numFmtId="0" fontId="21" fillId="6" borderId="8" xfId="5" applyFont="1" applyFill="1" applyBorder="1" applyAlignment="1">
      <alignment horizontal="center" vertical="center"/>
    </xf>
    <xf numFmtId="0" fontId="21" fillId="6" borderId="9" xfId="5" applyFont="1" applyFill="1" applyBorder="1" applyAlignment="1">
      <alignment horizontal="center" vertical="center"/>
    </xf>
    <xf numFmtId="0" fontId="21" fillId="6" borderId="10" xfId="5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9" fillId="0" borderId="63" xfId="0" applyFont="1" applyFill="1" applyBorder="1" applyAlignment="1">
      <alignment horizontal="center" vertical="center" wrapText="1"/>
    </xf>
    <xf numFmtId="0" fontId="25" fillId="0" borderId="64" xfId="0" applyFont="1" applyFill="1" applyBorder="1" applyAlignment="1">
      <alignment horizontal="center" vertical="center" wrapText="1"/>
    </xf>
    <xf numFmtId="0" fontId="25" fillId="0" borderId="65" xfId="0" applyFont="1" applyFill="1" applyBorder="1" applyAlignment="1">
      <alignment horizontal="center" vertical="center" wrapText="1"/>
    </xf>
    <xf numFmtId="0" fontId="11" fillId="0" borderId="59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0" xfId="0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25" fillId="0" borderId="0" xfId="6" applyAlignment="1">
      <alignment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shrinkToFit="1"/>
    </xf>
    <xf numFmtId="0" fontId="25" fillId="0" borderId="0" xfId="0" applyFont="1" applyAlignment="1">
      <alignment horizontal="center" shrinkToFit="1"/>
    </xf>
    <xf numFmtId="0" fontId="25" fillId="0" borderId="0" xfId="0" applyFont="1" applyAlignment="1">
      <alignment horizontal="center" wrapText="1"/>
    </xf>
    <xf numFmtId="0" fontId="8" fillId="4" borderId="45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shrinkToFit="1"/>
    </xf>
    <xf numFmtId="0" fontId="25" fillId="0" borderId="0" xfId="6" applyAlignment="1">
      <alignment vertical="center" wrapText="1"/>
    </xf>
    <xf numFmtId="0" fontId="34" fillId="0" borderId="45" xfId="0" applyFont="1" applyBorder="1" applyAlignment="1">
      <alignment horizontal="center" vertical="center" wrapText="1"/>
    </xf>
    <xf numFmtId="0" fontId="34" fillId="0" borderId="45" xfId="0" applyFont="1" applyFill="1" applyBorder="1" applyAlignment="1">
      <alignment horizontal="center" vertical="center" wrapText="1"/>
    </xf>
    <xf numFmtId="0" fontId="34" fillId="3" borderId="45" xfId="0" applyFont="1" applyFill="1" applyBorder="1" applyAlignment="1">
      <alignment horizontal="left" vertical="center" shrinkToFi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45" xfId="0" applyFont="1" applyFill="1" applyBorder="1" applyAlignment="1">
      <alignment horizontal="center" vertical="center" wrapText="1"/>
    </xf>
    <xf numFmtId="0" fontId="30" fillId="3" borderId="45" xfId="0" applyFont="1" applyFill="1" applyBorder="1" applyAlignment="1">
      <alignment vertical="top" shrinkToFit="1"/>
    </xf>
    <xf numFmtId="0" fontId="35" fillId="3" borderId="57" xfId="0" applyFont="1" applyFill="1" applyBorder="1" applyAlignment="1">
      <alignment horizontal="center" vertical="center" wrapText="1"/>
    </xf>
    <xf numFmtId="0" fontId="34" fillId="3" borderId="45" xfId="0" applyFont="1" applyFill="1" applyBorder="1" applyAlignment="1">
      <alignment horizontal="center" vertical="center" shrinkToFit="1"/>
    </xf>
    <xf numFmtId="0" fontId="34" fillId="3" borderId="5" xfId="0" applyFont="1" applyFill="1" applyBorder="1" applyAlignment="1">
      <alignment horizontal="center" vertical="center" wrapText="1"/>
    </xf>
    <xf numFmtId="0" fontId="36" fillId="0" borderId="0" xfId="6" applyFont="1" applyAlignment="1">
      <alignment horizontal="left" vertical="center" wrapText="1"/>
    </xf>
    <xf numFmtId="0" fontId="30" fillId="3" borderId="45" xfId="0" applyFont="1" applyFill="1" applyBorder="1" applyAlignment="1">
      <alignment horizontal="left" vertical="center" shrinkToFit="1"/>
    </xf>
    <xf numFmtId="0" fontId="34" fillId="3" borderId="57" xfId="0" applyFont="1" applyFill="1" applyBorder="1" applyAlignment="1">
      <alignment horizontal="center" vertical="center" wrapText="1"/>
    </xf>
    <xf numFmtId="0" fontId="34" fillId="3" borderId="45" xfId="0" quotePrefix="1" applyFont="1" applyFill="1" applyBorder="1" applyAlignment="1">
      <alignment horizontal="center" vertical="center" wrapText="1"/>
    </xf>
    <xf numFmtId="0" fontId="34" fillId="3" borderId="45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center" vertical="center" wrapText="1"/>
    </xf>
    <xf numFmtId="0" fontId="37" fillId="0" borderId="0" xfId="6" applyFont="1" applyAlignment="1">
      <alignment horizontal="left" vertical="center" wrapText="1"/>
    </xf>
    <xf numFmtId="0" fontId="34" fillId="8" borderId="45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vertical="center" shrinkToFit="1"/>
    </xf>
    <xf numFmtId="0" fontId="14" fillId="8" borderId="5" xfId="0" applyFont="1" applyFill="1" applyBorder="1" applyAlignment="1">
      <alignment horizontal="center" vertical="center" wrapText="1"/>
    </xf>
    <xf numFmtId="0" fontId="38" fillId="8" borderId="5" xfId="0" applyFont="1" applyFill="1" applyBorder="1" applyAlignment="1">
      <alignment horizontal="center" vertical="center" wrapText="1"/>
    </xf>
    <xf numFmtId="0" fontId="34" fillId="8" borderId="45" xfId="0" applyFont="1" applyFill="1" applyBorder="1" applyAlignment="1">
      <alignment horizontal="center" vertical="center" shrinkToFit="1"/>
    </xf>
    <xf numFmtId="0" fontId="25" fillId="3" borderId="0" xfId="6" applyFill="1" applyAlignment="1">
      <alignment wrapText="1"/>
    </xf>
    <xf numFmtId="0" fontId="34" fillId="3" borderId="45" xfId="0" applyFont="1" applyFill="1" applyBorder="1" applyAlignment="1">
      <alignment vertical="center" shrinkToFit="1"/>
    </xf>
    <xf numFmtId="0" fontId="16" fillId="3" borderId="5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9" fillId="3" borderId="57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horizontal="left" vertical="center" shrinkToFit="1"/>
    </xf>
    <xf numFmtId="0" fontId="34" fillId="3" borderId="5" xfId="0" applyFont="1" applyFill="1" applyBorder="1" applyAlignment="1">
      <alignment vertical="center" shrinkToFit="1"/>
    </xf>
    <xf numFmtId="0" fontId="14" fillId="3" borderId="45" xfId="0" applyFont="1" applyFill="1" applyBorder="1" applyAlignment="1">
      <alignment horizontal="center" vertical="center" wrapText="1"/>
    </xf>
    <xf numFmtId="0" fontId="39" fillId="3" borderId="45" xfId="0" applyFont="1" applyFill="1" applyBorder="1" applyAlignment="1">
      <alignment horizontal="center" vertical="center" wrapText="1"/>
    </xf>
    <xf numFmtId="0" fontId="35" fillId="3" borderId="45" xfId="0" applyFont="1" applyFill="1" applyBorder="1" applyAlignment="1">
      <alignment vertical="center" shrinkToFit="1"/>
    </xf>
    <xf numFmtId="0" fontId="30" fillId="0" borderId="0" xfId="6" applyFont="1" applyAlignment="1">
      <alignment wrapText="1"/>
    </xf>
    <xf numFmtId="0" fontId="30" fillId="3" borderId="45" xfId="0" applyFont="1" applyFill="1" applyBorder="1" applyAlignment="1">
      <alignment horizontal="center" vertical="center" wrapText="1"/>
    </xf>
    <xf numFmtId="0" fontId="40" fillId="0" borderId="45" xfId="0" applyFont="1" applyFill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 wrapText="1" shrinkToFit="1"/>
    </xf>
    <xf numFmtId="0" fontId="39" fillId="3" borderId="45" xfId="0" applyFont="1" applyFill="1" applyBorder="1" applyAlignment="1">
      <alignment vertical="center" shrinkToFit="1"/>
    </xf>
    <xf numFmtId="0" fontId="41" fillId="8" borderId="5" xfId="0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vertical="center" shrinkToFit="1"/>
    </xf>
    <xf numFmtId="0" fontId="42" fillId="8" borderId="5" xfId="0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center" vertical="center" shrinkToFit="1"/>
    </xf>
    <xf numFmtId="0" fontId="30" fillId="0" borderId="45" xfId="0" applyFont="1" applyBorder="1" applyAlignment="1">
      <alignment horizontal="center" wrapText="1"/>
    </xf>
    <xf numFmtId="0" fontId="43" fillId="3" borderId="45" xfId="0" applyFont="1" applyFill="1" applyBorder="1" applyAlignment="1">
      <alignment horizontal="center" vertical="center" wrapText="1"/>
    </xf>
    <xf numFmtId="0" fontId="30" fillId="0" borderId="45" xfId="0" applyFont="1" applyBorder="1" applyAlignment="1">
      <alignment shrinkToFit="1"/>
    </xf>
    <xf numFmtId="0" fontId="14" fillId="0" borderId="45" xfId="0" applyFont="1" applyBorder="1" applyAlignment="1">
      <alignment horizontal="center" wrapText="1"/>
    </xf>
    <xf numFmtId="0" fontId="30" fillId="0" borderId="45" xfId="0" applyFont="1" applyBorder="1" applyAlignment="1">
      <alignment wrapText="1"/>
    </xf>
    <xf numFmtId="0" fontId="30" fillId="0" borderId="45" xfId="0" applyFont="1" applyBorder="1" applyAlignment="1">
      <alignment horizontal="center" shrinkToFit="1"/>
    </xf>
    <xf numFmtId="0" fontId="44" fillId="3" borderId="0" xfId="0" applyFont="1" applyFill="1" applyAlignment="1">
      <alignment horizontal="center" vertical="center" wrapText="1"/>
    </xf>
    <xf numFmtId="0" fontId="25" fillId="0" borderId="45" xfId="0" applyFont="1" applyBorder="1" applyAlignment="1">
      <alignment wrapText="1"/>
    </xf>
    <xf numFmtId="0" fontId="0" fillId="0" borderId="45" xfId="0" applyBorder="1" applyAlignment="1">
      <alignment horizontal="center" vertical="center" wrapText="1"/>
    </xf>
    <xf numFmtId="0" fontId="0" fillId="0" borderId="45" xfId="0" applyBorder="1" applyAlignment="1">
      <alignment shrinkToFit="1"/>
    </xf>
    <xf numFmtId="0" fontId="25" fillId="0" borderId="45" xfId="0" applyFont="1" applyBorder="1" applyAlignment="1">
      <alignment horizontal="center" shrinkToFit="1"/>
    </xf>
    <xf numFmtId="0" fontId="25" fillId="0" borderId="45" xfId="0" applyFont="1" applyBorder="1" applyAlignment="1">
      <alignment shrinkToFit="1"/>
    </xf>
    <xf numFmtId="0" fontId="25" fillId="0" borderId="45" xfId="0" applyFont="1" applyBorder="1" applyAlignment="1">
      <alignment horizontal="center" wrapText="1"/>
    </xf>
    <xf numFmtId="0" fontId="26" fillId="2" borderId="0" xfId="0" applyFont="1" applyFill="1" applyAlignment="1"/>
    <xf numFmtId="0" fontId="26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shrinkToFit="1"/>
    </xf>
    <xf numFmtId="0" fontId="26" fillId="2" borderId="0" xfId="0" applyFont="1" applyFill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shrinkToFit="1"/>
    </xf>
    <xf numFmtId="0" fontId="30" fillId="0" borderId="0" xfId="0" applyFont="1" applyAlignment="1">
      <alignment horizontal="center" wrapText="1"/>
    </xf>
    <xf numFmtId="0" fontId="30" fillId="0" borderId="0" xfId="0" applyFont="1" applyAlignment="1"/>
    <xf numFmtId="0" fontId="25" fillId="0" borderId="0" xfId="6" applyFont="1" applyAlignment="1">
      <alignment wrapText="1"/>
    </xf>
    <xf numFmtId="0" fontId="25" fillId="0" borderId="0" xfId="6" applyAlignment="1">
      <alignment horizontal="center" vertical="center" wrapText="1"/>
    </xf>
    <xf numFmtId="0" fontId="25" fillId="0" borderId="0" xfId="6" applyAlignment="1">
      <alignment shrinkToFit="1"/>
    </xf>
    <xf numFmtId="0" fontId="25" fillId="0" borderId="0" xfId="6" applyAlignment="1">
      <alignment horizontal="center" wrapText="1"/>
    </xf>
    <xf numFmtId="0" fontId="26" fillId="2" borderId="0" xfId="2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32" fillId="4" borderId="3" xfId="0" applyFont="1" applyFill="1" applyBorder="1" applyAlignment="1">
      <alignment horizontal="center" vertical="center" wrapText="1"/>
    </xf>
    <xf numFmtId="0" fontId="32" fillId="4" borderId="0" xfId="0" applyFont="1" applyFill="1" applyBorder="1" applyAlignment="1">
      <alignment horizontal="center" vertical="center" wrapText="1"/>
    </xf>
    <xf numFmtId="0" fontId="31" fillId="2" borderId="37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3" fillId="2" borderId="55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40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2 2" xfId="5"/>
    <cellStyle name="Normal 3" xfId="3"/>
    <cellStyle name="Normal 4" xfId="1"/>
    <cellStyle name="Normal 4 2" xfId="4"/>
    <cellStyle name="Normal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PU.ABFI.1210.0001.DESKTOP-E7RAFG1\Documents\JATWAL%20KULIAH%20Kls%20INTENSIF%20&amp;%20KARYAWAN\Jadwal%20Kuliah%2015%20Juli%202019%20-%2019%20Okt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-I"/>
      <sheetName val="SA-K"/>
      <sheetName val="SM-I"/>
      <sheetName val="SM-K"/>
    </sheetNames>
    <sheetDataSet>
      <sheetData sheetId="0" refreshError="1">
        <row r="9">
          <cell r="F9" t="str">
            <v>O1P3</v>
          </cell>
          <cell r="I9">
            <v>6203</v>
          </cell>
          <cell r="J9" t="str">
            <v xml:space="preserve">SENIN, 18.30 -21.00  </v>
          </cell>
          <cell r="K9">
            <v>15</v>
          </cell>
          <cell r="L9" t="str">
            <v>2018/07 Periode</v>
          </cell>
        </row>
        <row r="12">
          <cell r="J12" t="str">
            <v xml:space="preserve">KAMIS, 18.30 - 21.00 </v>
          </cell>
        </row>
        <row r="13">
          <cell r="K13">
            <v>25</v>
          </cell>
        </row>
        <row r="17">
          <cell r="K17">
            <v>23</v>
          </cell>
        </row>
        <row r="21">
          <cell r="K21">
            <v>25</v>
          </cell>
        </row>
        <row r="25">
          <cell r="L25" t="str">
            <v>2019/03 Periode</v>
          </cell>
        </row>
        <row r="29">
          <cell r="I29">
            <v>6603</v>
          </cell>
          <cell r="L29" t="str">
            <v>2019/07 Periode</v>
          </cell>
        </row>
      </sheetData>
      <sheetData sheetId="1" refreshError="1">
        <row r="6">
          <cell r="I6" t="str">
            <v>SABTU, 08.00 - 10.30</v>
          </cell>
        </row>
        <row r="33">
          <cell r="C33" t="str">
            <v>EKF4150</v>
          </cell>
          <cell r="D33" t="str">
            <v>Sistem Informasi Manajemen</v>
          </cell>
        </row>
        <row r="34">
          <cell r="C34" t="str">
            <v>EKA4012</v>
          </cell>
          <cell r="D34" t="str">
            <v>AKUNTANSI KEUANGAN MENENGAH II</v>
          </cell>
        </row>
        <row r="35">
          <cell r="C35" t="str">
            <v>EKA4072</v>
          </cell>
          <cell r="D35" t="str">
            <v>PERPAJAKAN II</v>
          </cell>
        </row>
        <row r="36">
          <cell r="C36" t="str">
            <v>EKF4102</v>
          </cell>
          <cell r="D36" t="str">
            <v>Manajemen Keuangan II</v>
          </cell>
        </row>
      </sheetData>
      <sheetData sheetId="2" refreshError="1">
        <row r="5">
          <cell r="D5" t="str">
            <v>EKM7020</v>
          </cell>
          <cell r="E5" t="str">
            <v>Perencanaan Strategik &amp; Pengembangan S.D.M</v>
          </cell>
        </row>
        <row r="6">
          <cell r="D6" t="str">
            <v>EKM7024</v>
          </cell>
          <cell r="E6" t="str">
            <v>Seminar &amp; Riset MSDM</v>
          </cell>
        </row>
        <row r="7">
          <cell r="D7" t="str">
            <v>EKM7021</v>
          </cell>
          <cell r="E7" t="str">
            <v>Manajemen Kinerja dan Kompensasi</v>
          </cell>
        </row>
        <row r="8">
          <cell r="D8" t="str">
            <v>EKM8010</v>
          </cell>
          <cell r="E8" t="str">
            <v>Tugas Akhir</v>
          </cell>
        </row>
        <row r="13">
          <cell r="I13">
            <v>6205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view="pageBreakPreview" topLeftCell="C22" zoomScale="80" zoomScaleNormal="100" zoomScaleSheetLayoutView="80" workbookViewId="0">
      <selection activeCell="L13" sqref="L13:L28"/>
    </sheetView>
  </sheetViews>
  <sheetFormatPr defaultRowHeight="15" x14ac:dyDescent="0.25"/>
  <cols>
    <col min="1" max="1" width="5.42578125" hidden="1" customWidth="1"/>
    <col min="2" max="2" width="15.5703125" hidden="1" customWidth="1"/>
    <col min="3" max="3" width="9.42578125" customWidth="1"/>
    <col min="4" max="4" width="12.7109375" customWidth="1"/>
    <col min="5" max="5" width="53.140625" customWidth="1"/>
    <col min="6" max="6" width="10.5703125" style="32" customWidth="1"/>
    <col min="7" max="7" width="12.5703125" customWidth="1"/>
    <col min="8" max="8" width="43.7109375" customWidth="1"/>
    <col min="9" max="9" width="10.7109375" customWidth="1"/>
    <col min="10" max="10" width="27" customWidth="1"/>
    <col min="11" max="11" width="9.85546875" customWidth="1"/>
    <col min="12" max="12" width="10.7109375" customWidth="1"/>
    <col min="13" max="13" width="14.85546875" customWidth="1"/>
  </cols>
  <sheetData>
    <row r="1" spans="3:13" ht="21.75" customHeight="1" x14ac:dyDescent="0.25">
      <c r="C1" s="559" t="s">
        <v>51</v>
      </c>
      <c r="D1" s="560"/>
      <c r="E1" s="560"/>
      <c r="F1" s="560"/>
      <c r="G1" s="560"/>
      <c r="H1" s="560"/>
      <c r="I1" s="560"/>
      <c r="J1" s="560"/>
      <c r="K1" s="560"/>
      <c r="L1" s="560"/>
      <c r="M1" s="561"/>
    </row>
    <row r="2" spans="3:13" ht="15" customHeight="1" x14ac:dyDescent="0.25">
      <c r="C2" s="562" t="s">
        <v>52</v>
      </c>
      <c r="D2" s="563"/>
      <c r="E2" s="563"/>
      <c r="F2" s="563"/>
      <c r="G2" s="563"/>
      <c r="H2" s="563"/>
      <c r="I2" s="563"/>
      <c r="J2" s="563"/>
      <c r="K2" s="563"/>
      <c r="L2" s="563"/>
      <c r="M2" s="564"/>
    </row>
    <row r="3" spans="3:13" ht="15" customHeight="1" thickBot="1" x14ac:dyDescent="0.3">
      <c r="C3" s="565" t="s">
        <v>127</v>
      </c>
      <c r="D3" s="566"/>
      <c r="E3" s="566"/>
      <c r="F3" s="566"/>
      <c r="G3" s="566"/>
      <c r="H3" s="566"/>
      <c r="I3" s="566"/>
      <c r="J3" s="566"/>
      <c r="K3" s="566"/>
      <c r="L3" s="566"/>
      <c r="M3" s="567"/>
    </row>
    <row r="4" spans="3:13" ht="15" customHeight="1" thickBot="1" x14ac:dyDescent="0.3">
      <c r="C4" s="9" t="s">
        <v>1</v>
      </c>
      <c r="D4" s="8" t="s">
        <v>2</v>
      </c>
      <c r="E4" s="8" t="s">
        <v>3</v>
      </c>
      <c r="F4" s="8" t="s">
        <v>4</v>
      </c>
      <c r="G4" s="8" t="s">
        <v>38</v>
      </c>
      <c r="H4" s="24" t="s">
        <v>6</v>
      </c>
      <c r="I4" s="25" t="s">
        <v>7</v>
      </c>
      <c r="J4" s="401" t="s">
        <v>8</v>
      </c>
      <c r="K4" s="8" t="s">
        <v>9</v>
      </c>
      <c r="L4" s="8" t="s">
        <v>10</v>
      </c>
      <c r="M4" s="8" t="s">
        <v>63</v>
      </c>
    </row>
    <row r="5" spans="3:13" s="139" customFormat="1" ht="13.5" customHeight="1" x14ac:dyDescent="0.25">
      <c r="C5" s="34">
        <v>1</v>
      </c>
      <c r="D5" s="341" t="s">
        <v>67</v>
      </c>
      <c r="E5" s="342" t="s">
        <v>101</v>
      </c>
      <c r="F5" s="545" t="s">
        <v>130</v>
      </c>
      <c r="G5" s="343"/>
      <c r="H5" s="344"/>
      <c r="I5" s="551">
        <v>6507</v>
      </c>
      <c r="J5" s="402" t="s">
        <v>60</v>
      </c>
      <c r="K5" s="533">
        <v>20</v>
      </c>
      <c r="L5" s="536" t="s">
        <v>73</v>
      </c>
      <c r="M5" s="568">
        <v>5</v>
      </c>
    </row>
    <row r="6" spans="3:13" s="139" customFormat="1" ht="13.5" customHeight="1" x14ac:dyDescent="0.25">
      <c r="C6" s="30">
        <v>2</v>
      </c>
      <c r="D6" s="346" t="s">
        <v>68</v>
      </c>
      <c r="E6" s="347" t="s">
        <v>69</v>
      </c>
      <c r="F6" s="546"/>
      <c r="G6" s="348"/>
      <c r="H6" s="180"/>
      <c r="I6" s="531"/>
      <c r="J6" s="402" t="s">
        <v>61</v>
      </c>
      <c r="K6" s="534"/>
      <c r="L6" s="537"/>
      <c r="M6" s="569"/>
    </row>
    <row r="7" spans="3:13" s="139" customFormat="1" ht="13.5" customHeight="1" x14ac:dyDescent="0.25">
      <c r="C7" s="30">
        <v>3</v>
      </c>
      <c r="D7" s="346" t="s">
        <v>70</v>
      </c>
      <c r="E7" s="347" t="s">
        <v>86</v>
      </c>
      <c r="F7" s="546"/>
      <c r="G7" s="349"/>
      <c r="H7" s="350"/>
      <c r="I7" s="531"/>
      <c r="J7" s="402" t="s">
        <v>62</v>
      </c>
      <c r="K7" s="534"/>
      <c r="L7" s="537"/>
      <c r="M7" s="569"/>
    </row>
    <row r="8" spans="3:13" s="139" customFormat="1" ht="13.5" customHeight="1" thickBot="1" x14ac:dyDescent="0.3">
      <c r="C8" s="218">
        <v>4</v>
      </c>
      <c r="D8" s="351" t="s">
        <v>71</v>
      </c>
      <c r="E8" s="294" t="s">
        <v>106</v>
      </c>
      <c r="F8" s="547"/>
      <c r="G8" s="352"/>
      <c r="H8" s="353"/>
      <c r="I8" s="532"/>
      <c r="J8" s="403"/>
      <c r="K8" s="535"/>
      <c r="L8" s="537"/>
      <c r="M8" s="569"/>
    </row>
    <row r="9" spans="3:13" s="139" customFormat="1" ht="13.5" customHeight="1" x14ac:dyDescent="0.25">
      <c r="C9" s="29">
        <v>5</v>
      </c>
      <c r="D9" s="334" t="s">
        <v>118</v>
      </c>
      <c r="E9" s="140" t="s">
        <v>119</v>
      </c>
      <c r="F9" s="551" t="s">
        <v>131</v>
      </c>
      <c r="G9" s="29"/>
      <c r="H9" s="354"/>
      <c r="I9" s="551">
        <v>6509</v>
      </c>
      <c r="J9" s="400" t="s">
        <v>60</v>
      </c>
      <c r="K9" s="533">
        <v>20</v>
      </c>
      <c r="L9" s="537"/>
      <c r="M9" s="569"/>
    </row>
    <row r="10" spans="3:13" s="139" customFormat="1" ht="13.5" customHeight="1" x14ac:dyDescent="0.25">
      <c r="C10" s="30">
        <v>6</v>
      </c>
      <c r="D10" s="336" t="s">
        <v>120</v>
      </c>
      <c r="E10" s="141" t="s">
        <v>121</v>
      </c>
      <c r="F10" s="531"/>
      <c r="G10" s="74"/>
      <c r="H10" s="355"/>
      <c r="I10" s="531"/>
      <c r="J10" s="345" t="s">
        <v>61</v>
      </c>
      <c r="K10" s="534"/>
      <c r="L10" s="537"/>
      <c r="M10" s="569"/>
    </row>
    <row r="11" spans="3:13" s="139" customFormat="1" ht="13.5" customHeight="1" x14ac:dyDescent="0.25">
      <c r="C11" s="30">
        <v>7</v>
      </c>
      <c r="D11" s="74" t="s">
        <v>122</v>
      </c>
      <c r="E11" s="339" t="s">
        <v>123</v>
      </c>
      <c r="F11" s="531"/>
      <c r="G11" s="356"/>
      <c r="H11" s="357"/>
      <c r="I11" s="531"/>
      <c r="J11" s="345" t="s">
        <v>62</v>
      </c>
      <c r="K11" s="534"/>
      <c r="L11" s="537"/>
      <c r="M11" s="569"/>
    </row>
    <row r="12" spans="3:13" s="139" customFormat="1" ht="13.5" customHeight="1" thickBot="1" x14ac:dyDescent="0.3">
      <c r="C12" s="31">
        <v>8</v>
      </c>
      <c r="D12" s="340" t="s">
        <v>71</v>
      </c>
      <c r="E12" s="26" t="s">
        <v>106</v>
      </c>
      <c r="F12" s="532"/>
      <c r="G12" s="358"/>
      <c r="H12" s="359"/>
      <c r="I12" s="532"/>
      <c r="J12" s="345"/>
      <c r="K12" s="535"/>
      <c r="L12" s="538"/>
      <c r="M12" s="569"/>
    </row>
    <row r="13" spans="3:13" ht="13.5" customHeight="1" x14ac:dyDescent="0.25">
      <c r="C13" s="34">
        <v>9</v>
      </c>
      <c r="D13" s="81" t="s">
        <v>57</v>
      </c>
      <c r="E13" s="82" t="s">
        <v>58</v>
      </c>
      <c r="F13" s="545" t="s">
        <v>132</v>
      </c>
      <c r="G13" s="287"/>
      <c r="H13" s="284"/>
      <c r="I13" s="551">
        <v>6204</v>
      </c>
      <c r="J13" s="145" t="s">
        <v>59</v>
      </c>
      <c r="K13" s="533">
        <v>28</v>
      </c>
      <c r="L13" s="536" t="s">
        <v>100</v>
      </c>
      <c r="M13" s="528">
        <v>4</v>
      </c>
    </row>
    <row r="14" spans="3:13" ht="13.5" customHeight="1" x14ac:dyDescent="0.25">
      <c r="C14" s="30">
        <v>10</v>
      </c>
      <c r="D14" s="85" t="s">
        <v>32</v>
      </c>
      <c r="E14" s="86" t="s">
        <v>33</v>
      </c>
      <c r="F14" s="546"/>
      <c r="G14" s="288"/>
      <c r="H14" s="285"/>
      <c r="I14" s="531"/>
      <c r="J14" s="142" t="s">
        <v>60</v>
      </c>
      <c r="K14" s="534"/>
      <c r="L14" s="537"/>
      <c r="M14" s="529"/>
    </row>
    <row r="15" spans="3:13" ht="13.5" customHeight="1" x14ac:dyDescent="0.25">
      <c r="C15" s="30">
        <v>11</v>
      </c>
      <c r="D15" s="85" t="s">
        <v>53</v>
      </c>
      <c r="E15" s="86" t="s">
        <v>54</v>
      </c>
      <c r="F15" s="546"/>
      <c r="G15" s="288"/>
      <c r="H15" s="285"/>
      <c r="I15" s="531"/>
      <c r="J15" s="142" t="s">
        <v>61</v>
      </c>
      <c r="K15" s="534"/>
      <c r="L15" s="537"/>
      <c r="M15" s="529"/>
    </row>
    <row r="16" spans="3:13" ht="13.5" customHeight="1" thickBot="1" x14ac:dyDescent="0.3">
      <c r="C16" s="218">
        <v>12</v>
      </c>
      <c r="D16" s="91" t="s">
        <v>55</v>
      </c>
      <c r="E16" s="92" t="s">
        <v>56</v>
      </c>
      <c r="F16" s="547"/>
      <c r="G16" s="59"/>
      <c r="H16" s="286"/>
      <c r="I16" s="532"/>
      <c r="J16" s="196" t="s">
        <v>62</v>
      </c>
      <c r="K16" s="535"/>
      <c r="L16" s="537"/>
      <c r="M16" s="529"/>
    </row>
    <row r="17" spans="2:13" ht="13.5" customHeight="1" x14ac:dyDescent="0.25">
      <c r="C17" s="29">
        <v>13</v>
      </c>
      <c r="D17" s="81" t="s">
        <v>57</v>
      </c>
      <c r="E17" s="82" t="s">
        <v>58</v>
      </c>
      <c r="F17" s="548" t="s">
        <v>133</v>
      </c>
      <c r="G17" s="287"/>
      <c r="H17" s="284"/>
      <c r="I17" s="551">
        <v>6504</v>
      </c>
      <c r="J17" s="145" t="s">
        <v>59</v>
      </c>
      <c r="K17" s="533">
        <v>28</v>
      </c>
      <c r="L17" s="537"/>
      <c r="M17" s="529"/>
    </row>
    <row r="18" spans="2:13" ht="13.5" customHeight="1" x14ac:dyDescent="0.25">
      <c r="C18" s="30">
        <v>14</v>
      </c>
      <c r="D18" s="85" t="s">
        <v>32</v>
      </c>
      <c r="E18" s="86" t="s">
        <v>33</v>
      </c>
      <c r="F18" s="549"/>
      <c r="G18" s="288"/>
      <c r="H18" s="285"/>
      <c r="I18" s="529"/>
      <c r="J18" s="142" t="s">
        <v>60</v>
      </c>
      <c r="K18" s="534"/>
      <c r="L18" s="537"/>
      <c r="M18" s="529"/>
    </row>
    <row r="19" spans="2:13" ht="13.5" customHeight="1" x14ac:dyDescent="0.25">
      <c r="C19" s="30">
        <v>15</v>
      </c>
      <c r="D19" s="85" t="s">
        <v>53</v>
      </c>
      <c r="E19" s="86" t="s">
        <v>54</v>
      </c>
      <c r="F19" s="549"/>
      <c r="G19" s="288"/>
      <c r="H19" s="285"/>
      <c r="I19" s="529"/>
      <c r="J19" s="142" t="s">
        <v>61</v>
      </c>
      <c r="K19" s="534"/>
      <c r="L19" s="537"/>
      <c r="M19" s="529"/>
    </row>
    <row r="20" spans="2:13" ht="13.5" customHeight="1" thickBot="1" x14ac:dyDescent="0.3">
      <c r="C20" s="31">
        <v>16</v>
      </c>
      <c r="D20" s="91" t="s">
        <v>55</v>
      </c>
      <c r="E20" s="92" t="s">
        <v>56</v>
      </c>
      <c r="F20" s="550"/>
      <c r="G20" s="59"/>
      <c r="H20" s="286"/>
      <c r="I20" s="530"/>
      <c r="J20" s="196" t="s">
        <v>62</v>
      </c>
      <c r="K20" s="535"/>
      <c r="L20" s="537"/>
      <c r="M20" s="529"/>
    </row>
    <row r="21" spans="2:13" ht="13.5" customHeight="1" x14ac:dyDescent="0.25">
      <c r="C21" s="29">
        <v>17</v>
      </c>
      <c r="D21" s="81" t="s">
        <v>57</v>
      </c>
      <c r="E21" s="82" t="s">
        <v>58</v>
      </c>
      <c r="F21" s="545" t="s">
        <v>134</v>
      </c>
      <c r="G21" s="83"/>
      <c r="H21" s="84"/>
      <c r="I21" s="551">
        <v>6508</v>
      </c>
      <c r="J21" s="145" t="s">
        <v>59</v>
      </c>
      <c r="K21" s="533">
        <v>27</v>
      </c>
      <c r="L21" s="537"/>
      <c r="M21" s="529"/>
    </row>
    <row r="22" spans="2:13" s="51" customFormat="1" ht="13.5" customHeight="1" x14ac:dyDescent="0.25">
      <c r="B22" s="54"/>
      <c r="C22" s="30">
        <v>18</v>
      </c>
      <c r="D22" s="85" t="s">
        <v>32</v>
      </c>
      <c r="E22" s="86" t="s">
        <v>33</v>
      </c>
      <c r="F22" s="552"/>
      <c r="G22" s="87"/>
      <c r="H22" s="88"/>
      <c r="I22" s="529"/>
      <c r="J22" s="142" t="s">
        <v>60</v>
      </c>
      <c r="K22" s="534"/>
      <c r="L22" s="537"/>
      <c r="M22" s="529"/>
    </row>
    <row r="23" spans="2:13" ht="13.5" customHeight="1" x14ac:dyDescent="0.25">
      <c r="C23" s="30">
        <v>19</v>
      </c>
      <c r="D23" s="85" t="s">
        <v>53</v>
      </c>
      <c r="E23" s="86" t="s">
        <v>54</v>
      </c>
      <c r="F23" s="552"/>
      <c r="G23" s="89"/>
      <c r="H23" s="90"/>
      <c r="I23" s="529"/>
      <c r="J23" s="142" t="s">
        <v>61</v>
      </c>
      <c r="K23" s="534"/>
      <c r="L23" s="537"/>
      <c r="M23" s="529"/>
    </row>
    <row r="24" spans="2:13" ht="13.5" customHeight="1" thickBot="1" x14ac:dyDescent="0.3">
      <c r="C24" s="31">
        <v>20</v>
      </c>
      <c r="D24" s="91" t="s">
        <v>55</v>
      </c>
      <c r="E24" s="92" t="s">
        <v>56</v>
      </c>
      <c r="F24" s="553"/>
      <c r="G24" s="78"/>
      <c r="H24" s="295"/>
      <c r="I24" s="530"/>
      <c r="J24" s="196" t="s">
        <v>62</v>
      </c>
      <c r="K24" s="535"/>
      <c r="L24" s="537"/>
      <c r="M24" s="529"/>
    </row>
    <row r="25" spans="2:13" ht="13.5" customHeight="1" x14ac:dyDescent="0.25">
      <c r="C25" s="29">
        <v>21</v>
      </c>
      <c r="D25" s="81" t="s">
        <v>57</v>
      </c>
      <c r="E25" s="82" t="s">
        <v>58</v>
      </c>
      <c r="F25" s="551" t="s">
        <v>135</v>
      </c>
      <c r="G25" s="95"/>
      <c r="H25" s="96"/>
      <c r="I25" s="551">
        <v>6510</v>
      </c>
      <c r="J25" s="145" t="s">
        <v>59</v>
      </c>
      <c r="K25" s="551">
        <v>27</v>
      </c>
      <c r="L25" s="537"/>
      <c r="M25" s="529"/>
    </row>
    <row r="26" spans="2:13" ht="13.5" customHeight="1" x14ac:dyDescent="0.25">
      <c r="C26" s="30">
        <v>22</v>
      </c>
      <c r="D26" s="85" t="s">
        <v>32</v>
      </c>
      <c r="E26" s="86" t="s">
        <v>33</v>
      </c>
      <c r="F26" s="531"/>
      <c r="G26" s="97"/>
      <c r="H26" s="98"/>
      <c r="I26" s="531"/>
      <c r="J26" s="142" t="s">
        <v>60</v>
      </c>
      <c r="K26" s="531"/>
      <c r="L26" s="537"/>
      <c r="M26" s="529"/>
    </row>
    <row r="27" spans="2:13" ht="13.5" customHeight="1" x14ac:dyDescent="0.25">
      <c r="C27" s="30">
        <v>23</v>
      </c>
      <c r="D27" s="85" t="s">
        <v>53</v>
      </c>
      <c r="E27" s="86" t="s">
        <v>54</v>
      </c>
      <c r="F27" s="531"/>
      <c r="G27" s="76"/>
      <c r="H27" s="77"/>
      <c r="I27" s="531"/>
      <c r="J27" s="142" t="s">
        <v>61</v>
      </c>
      <c r="K27" s="531"/>
      <c r="L27" s="537"/>
      <c r="M27" s="529"/>
    </row>
    <row r="28" spans="2:13" ht="13.5" customHeight="1" thickBot="1" x14ac:dyDescent="0.3">
      <c r="C28" s="31">
        <v>24</v>
      </c>
      <c r="D28" s="91" t="s">
        <v>55</v>
      </c>
      <c r="E28" s="92" t="s">
        <v>56</v>
      </c>
      <c r="F28" s="532"/>
      <c r="G28" s="99"/>
      <c r="H28" s="92"/>
      <c r="I28" s="532"/>
      <c r="J28" s="196" t="s">
        <v>62</v>
      </c>
      <c r="K28" s="532"/>
      <c r="L28" s="538"/>
      <c r="M28" s="530"/>
    </row>
    <row r="29" spans="2:13" ht="13.5" customHeight="1" x14ac:dyDescent="0.25">
      <c r="C29" s="34">
        <v>25</v>
      </c>
      <c r="D29" s="93" t="s">
        <v>89</v>
      </c>
      <c r="E29" s="94" t="s">
        <v>104</v>
      </c>
      <c r="F29" s="545" t="s">
        <v>136</v>
      </c>
      <c r="G29" s="100"/>
      <c r="H29" s="104"/>
      <c r="I29" s="531">
        <v>6203</v>
      </c>
      <c r="J29" s="145" t="s">
        <v>59</v>
      </c>
      <c r="K29" s="531">
        <v>39</v>
      </c>
      <c r="L29" s="536" t="s">
        <v>103</v>
      </c>
      <c r="M29" s="528">
        <v>3</v>
      </c>
    </row>
    <row r="30" spans="2:13" ht="13.5" customHeight="1" x14ac:dyDescent="0.25">
      <c r="C30" s="30">
        <v>26</v>
      </c>
      <c r="D30" s="85" t="s">
        <v>87</v>
      </c>
      <c r="E30" s="86" t="s">
        <v>88</v>
      </c>
      <c r="F30" s="546"/>
      <c r="G30" s="101"/>
      <c r="H30" s="102"/>
      <c r="I30" s="531"/>
      <c r="J30" s="142" t="s">
        <v>60</v>
      </c>
      <c r="K30" s="531"/>
      <c r="L30" s="537"/>
      <c r="M30" s="556"/>
    </row>
    <row r="31" spans="2:13" ht="17.25" customHeight="1" x14ac:dyDescent="0.25">
      <c r="C31" s="30">
        <v>27</v>
      </c>
      <c r="D31" s="85" t="s">
        <v>92</v>
      </c>
      <c r="E31" s="86" t="s">
        <v>93</v>
      </c>
      <c r="F31" s="546"/>
      <c r="G31" s="101"/>
      <c r="H31" s="102"/>
      <c r="I31" s="531"/>
      <c r="J31" s="142" t="s">
        <v>61</v>
      </c>
      <c r="K31" s="531"/>
      <c r="L31" s="537"/>
      <c r="M31" s="556"/>
    </row>
    <row r="32" spans="2:13" ht="17.25" customHeight="1" thickBot="1" x14ac:dyDescent="0.3">
      <c r="C32" s="218">
        <v>28</v>
      </c>
      <c r="D32" s="265" t="s">
        <v>90</v>
      </c>
      <c r="E32" s="266" t="s">
        <v>91</v>
      </c>
      <c r="F32" s="547"/>
      <c r="G32" s="103"/>
      <c r="H32" s="105"/>
      <c r="I32" s="532"/>
      <c r="J32" s="196" t="s">
        <v>62</v>
      </c>
      <c r="K32" s="532"/>
      <c r="L32" s="538"/>
      <c r="M32" s="557"/>
    </row>
    <row r="33" spans="3:13" ht="13.5" customHeight="1" x14ac:dyDescent="0.25">
      <c r="C33" s="29">
        <v>29</v>
      </c>
      <c r="D33" s="261" t="s">
        <v>28</v>
      </c>
      <c r="E33" s="269" t="s">
        <v>99</v>
      </c>
      <c r="F33" s="545" t="s">
        <v>137</v>
      </c>
      <c r="G33" s="281"/>
      <c r="H33" s="257"/>
      <c r="I33" s="551">
        <v>6506</v>
      </c>
      <c r="J33" s="145" t="s">
        <v>59</v>
      </c>
      <c r="K33" s="214"/>
      <c r="L33" s="539" t="s">
        <v>155</v>
      </c>
      <c r="M33" s="542">
        <v>2</v>
      </c>
    </row>
    <row r="34" spans="3:13" ht="13.5" customHeight="1" x14ac:dyDescent="0.25">
      <c r="C34" s="30">
        <v>30</v>
      </c>
      <c r="D34" s="262" t="s">
        <v>94</v>
      </c>
      <c r="E34" s="270" t="s">
        <v>95</v>
      </c>
      <c r="F34" s="546"/>
      <c r="G34" s="109"/>
      <c r="H34" s="258"/>
      <c r="I34" s="529"/>
      <c r="J34" s="142" t="s">
        <v>60</v>
      </c>
      <c r="K34" s="212"/>
      <c r="L34" s="540"/>
      <c r="M34" s="543"/>
    </row>
    <row r="35" spans="3:13" ht="13.5" customHeight="1" x14ac:dyDescent="0.25">
      <c r="C35" s="30">
        <v>31</v>
      </c>
      <c r="D35" s="263" t="s">
        <v>96</v>
      </c>
      <c r="E35" s="271" t="s">
        <v>97</v>
      </c>
      <c r="F35" s="546"/>
      <c r="G35" s="109"/>
      <c r="H35" s="259"/>
      <c r="I35" s="529"/>
      <c r="J35" s="142" t="s">
        <v>61</v>
      </c>
      <c r="K35" s="212">
        <v>29</v>
      </c>
      <c r="L35" s="540"/>
      <c r="M35" s="543"/>
    </row>
    <row r="36" spans="3:13" ht="13.5" customHeight="1" thickBot="1" x14ac:dyDescent="0.3">
      <c r="C36" s="31">
        <v>32</v>
      </c>
      <c r="D36" s="264" t="s">
        <v>98</v>
      </c>
      <c r="E36" s="272" t="s">
        <v>117</v>
      </c>
      <c r="F36" s="547"/>
      <c r="G36" s="282"/>
      <c r="H36" s="283"/>
      <c r="I36" s="530"/>
      <c r="J36" s="196" t="s">
        <v>62</v>
      </c>
      <c r="K36" s="213"/>
      <c r="L36" s="540"/>
      <c r="M36" s="543"/>
    </row>
    <row r="37" spans="3:13" ht="13.5" customHeight="1" x14ac:dyDescent="0.25">
      <c r="C37" s="29">
        <v>33</v>
      </c>
      <c r="D37" s="267" t="s">
        <v>28</v>
      </c>
      <c r="E37" s="268" t="s">
        <v>99</v>
      </c>
      <c r="F37" s="551" t="s">
        <v>138</v>
      </c>
      <c r="G37" s="279"/>
      <c r="H37" s="280"/>
      <c r="I37" s="551">
        <v>6608</v>
      </c>
      <c r="J37" s="145" t="s">
        <v>59</v>
      </c>
      <c r="K37" s="531">
        <v>20</v>
      </c>
      <c r="L37" s="540"/>
      <c r="M37" s="543"/>
    </row>
    <row r="38" spans="3:13" ht="13.5" customHeight="1" x14ac:dyDescent="0.25">
      <c r="C38" s="30">
        <v>34</v>
      </c>
      <c r="D38" s="262" t="s">
        <v>94</v>
      </c>
      <c r="E38" s="252" t="s">
        <v>95</v>
      </c>
      <c r="F38" s="531"/>
      <c r="G38" s="254"/>
      <c r="H38" s="259"/>
      <c r="I38" s="531"/>
      <c r="J38" s="142" t="s">
        <v>60</v>
      </c>
      <c r="K38" s="531"/>
      <c r="L38" s="540"/>
      <c r="M38" s="543"/>
    </row>
    <row r="39" spans="3:13" ht="13.5" customHeight="1" x14ac:dyDescent="0.25">
      <c r="C39" s="30">
        <v>35</v>
      </c>
      <c r="D39" s="263" t="s">
        <v>96</v>
      </c>
      <c r="E39" s="253" t="s">
        <v>97</v>
      </c>
      <c r="F39" s="531"/>
      <c r="G39" s="254"/>
      <c r="H39" s="258"/>
      <c r="I39" s="531"/>
      <c r="J39" s="142" t="s">
        <v>61</v>
      </c>
      <c r="K39" s="531"/>
      <c r="L39" s="540"/>
      <c r="M39" s="543"/>
    </row>
    <row r="40" spans="3:13" ht="13.5" customHeight="1" thickBot="1" x14ac:dyDescent="0.3">
      <c r="C40" s="31">
        <v>36</v>
      </c>
      <c r="D40" s="264" t="s">
        <v>98</v>
      </c>
      <c r="E40" s="255" t="s">
        <v>117</v>
      </c>
      <c r="F40" s="532"/>
      <c r="G40" s="256"/>
      <c r="H40" s="260"/>
      <c r="I40" s="532"/>
      <c r="J40" s="196" t="s">
        <v>62</v>
      </c>
      <c r="K40" s="532"/>
      <c r="L40" s="541"/>
      <c r="M40" s="544"/>
    </row>
    <row r="41" spans="3:13" s="139" customFormat="1" ht="13.5" customHeight="1" x14ac:dyDescent="0.25">
      <c r="C41" s="29">
        <v>37</v>
      </c>
      <c r="D41" s="360" t="s">
        <v>41</v>
      </c>
      <c r="E41" s="361" t="s">
        <v>42</v>
      </c>
      <c r="F41" s="572" t="s">
        <v>139</v>
      </c>
      <c r="G41" s="362"/>
      <c r="H41" s="363"/>
      <c r="I41" s="572">
        <v>6603</v>
      </c>
      <c r="J41" s="145" t="s">
        <v>59</v>
      </c>
      <c r="K41" s="551"/>
      <c r="L41" s="539"/>
      <c r="M41" s="558">
        <v>1</v>
      </c>
    </row>
    <row r="42" spans="3:13" s="139" customFormat="1" ht="13.5" customHeight="1" x14ac:dyDescent="0.25">
      <c r="C42" s="30">
        <v>38</v>
      </c>
      <c r="D42" s="346" t="s">
        <v>43</v>
      </c>
      <c r="E42" s="347" t="s">
        <v>44</v>
      </c>
      <c r="F42" s="573"/>
      <c r="G42" s="364"/>
      <c r="H42" s="365"/>
      <c r="I42" s="573"/>
      <c r="J42" s="142" t="s">
        <v>60</v>
      </c>
      <c r="K42" s="554"/>
      <c r="L42" s="540"/>
      <c r="M42" s="554"/>
    </row>
    <row r="43" spans="3:13" s="139" customFormat="1" ht="13.5" customHeight="1" x14ac:dyDescent="0.25">
      <c r="C43" s="30">
        <v>39</v>
      </c>
      <c r="D43" s="346" t="s">
        <v>47</v>
      </c>
      <c r="E43" s="347" t="s">
        <v>48</v>
      </c>
      <c r="F43" s="573"/>
      <c r="G43" s="364"/>
      <c r="H43" s="365"/>
      <c r="I43" s="573"/>
      <c r="J43" s="142" t="s">
        <v>61</v>
      </c>
      <c r="K43" s="554"/>
      <c r="L43" s="540"/>
      <c r="M43" s="554"/>
    </row>
    <row r="44" spans="3:13" s="139" customFormat="1" ht="13.5" customHeight="1" thickBot="1" x14ac:dyDescent="0.3">
      <c r="C44" s="31">
        <v>40</v>
      </c>
      <c r="D44" s="366" t="s">
        <v>45</v>
      </c>
      <c r="E44" s="367" t="s">
        <v>46</v>
      </c>
      <c r="F44" s="574"/>
      <c r="G44" s="368"/>
      <c r="H44" s="369"/>
      <c r="I44" s="574"/>
      <c r="J44" s="196" t="s">
        <v>62</v>
      </c>
      <c r="K44" s="555"/>
      <c r="L44" s="540"/>
      <c r="M44" s="554"/>
    </row>
    <row r="45" spans="3:13" s="139" customFormat="1" ht="13.5" customHeight="1" x14ac:dyDescent="0.25">
      <c r="C45" s="34">
        <v>41</v>
      </c>
      <c r="D45" s="360" t="s">
        <v>41</v>
      </c>
      <c r="E45" s="361" t="s">
        <v>42</v>
      </c>
      <c r="F45" s="572" t="s">
        <v>140</v>
      </c>
      <c r="G45" s="362"/>
      <c r="H45" s="363"/>
      <c r="I45" s="572">
        <v>6606</v>
      </c>
      <c r="J45" s="145" t="s">
        <v>59</v>
      </c>
      <c r="K45" s="551"/>
      <c r="L45" s="540"/>
      <c r="M45" s="554"/>
    </row>
    <row r="46" spans="3:13" s="139" customFormat="1" ht="13.5" customHeight="1" x14ac:dyDescent="0.25">
      <c r="C46" s="30">
        <v>42</v>
      </c>
      <c r="D46" s="346" t="s">
        <v>43</v>
      </c>
      <c r="E46" s="347" t="s">
        <v>44</v>
      </c>
      <c r="F46" s="573"/>
      <c r="G46" s="364"/>
      <c r="H46" s="365"/>
      <c r="I46" s="573"/>
      <c r="J46" s="142" t="s">
        <v>60</v>
      </c>
      <c r="K46" s="554"/>
      <c r="L46" s="540"/>
      <c r="M46" s="554"/>
    </row>
    <row r="47" spans="3:13" s="139" customFormat="1" ht="13.5" customHeight="1" x14ac:dyDescent="0.25">
      <c r="C47" s="30">
        <v>43</v>
      </c>
      <c r="D47" s="346" t="s">
        <v>47</v>
      </c>
      <c r="E47" s="347" t="s">
        <v>48</v>
      </c>
      <c r="F47" s="573"/>
      <c r="G47" s="364"/>
      <c r="H47" s="365"/>
      <c r="I47" s="573"/>
      <c r="J47" s="142" t="s">
        <v>61</v>
      </c>
      <c r="K47" s="554"/>
      <c r="L47" s="540"/>
      <c r="M47" s="554"/>
    </row>
    <row r="48" spans="3:13" s="139" customFormat="1" ht="13.5" customHeight="1" thickBot="1" x14ac:dyDescent="0.3">
      <c r="C48" s="31">
        <v>44</v>
      </c>
      <c r="D48" s="366" t="s">
        <v>45</v>
      </c>
      <c r="E48" s="367" t="s">
        <v>46</v>
      </c>
      <c r="F48" s="574"/>
      <c r="G48" s="368"/>
      <c r="H48" s="369"/>
      <c r="I48" s="574"/>
      <c r="J48" s="196" t="s">
        <v>62</v>
      </c>
      <c r="K48" s="555"/>
      <c r="L48" s="540"/>
      <c r="M48" s="554"/>
    </row>
    <row r="49" spans="3:13" s="139" customFormat="1" ht="13.5" customHeight="1" x14ac:dyDescent="0.25">
      <c r="C49" s="34">
        <v>45</v>
      </c>
      <c r="D49" s="360" t="s">
        <v>41</v>
      </c>
      <c r="E49" s="361" t="s">
        <v>42</v>
      </c>
      <c r="F49" s="546" t="s">
        <v>141</v>
      </c>
      <c r="G49" s="370"/>
      <c r="H49" s="70"/>
      <c r="I49" s="531">
        <v>6202</v>
      </c>
      <c r="J49" s="145" t="s">
        <v>59</v>
      </c>
      <c r="K49" s="534"/>
      <c r="L49" s="540"/>
      <c r="M49" s="554"/>
    </row>
    <row r="50" spans="3:13" s="139" customFormat="1" ht="13.5" customHeight="1" x14ac:dyDescent="0.25">
      <c r="C50" s="30">
        <v>46</v>
      </c>
      <c r="D50" s="346" t="s">
        <v>43</v>
      </c>
      <c r="E50" s="347" t="s">
        <v>44</v>
      </c>
      <c r="F50" s="546"/>
      <c r="G50" s="301"/>
      <c r="H50" s="371"/>
      <c r="I50" s="531"/>
      <c r="J50" s="142" t="s">
        <v>60</v>
      </c>
      <c r="K50" s="534"/>
      <c r="L50" s="540"/>
      <c r="M50" s="554"/>
    </row>
    <row r="51" spans="3:13" s="139" customFormat="1" ht="13.5" customHeight="1" x14ac:dyDescent="0.25">
      <c r="C51" s="30">
        <v>47</v>
      </c>
      <c r="D51" s="346" t="s">
        <v>47</v>
      </c>
      <c r="E51" s="347" t="s">
        <v>48</v>
      </c>
      <c r="F51" s="546"/>
      <c r="G51" s="372"/>
      <c r="H51" s="373"/>
      <c r="I51" s="531"/>
      <c r="J51" s="142" t="s">
        <v>61</v>
      </c>
      <c r="K51" s="534"/>
      <c r="L51" s="540"/>
      <c r="M51" s="554"/>
    </row>
    <row r="52" spans="3:13" s="139" customFormat="1" ht="13.5" customHeight="1" thickBot="1" x14ac:dyDescent="0.3">
      <c r="C52" s="30">
        <v>48</v>
      </c>
      <c r="D52" s="366" t="s">
        <v>45</v>
      </c>
      <c r="E52" s="367" t="s">
        <v>46</v>
      </c>
      <c r="F52" s="547"/>
      <c r="G52" s="374"/>
      <c r="H52" s="375"/>
      <c r="I52" s="532"/>
      <c r="J52" s="196" t="s">
        <v>62</v>
      </c>
      <c r="K52" s="535"/>
      <c r="L52" s="541"/>
      <c r="M52" s="555"/>
    </row>
    <row r="53" spans="3:13" ht="13.5" customHeight="1" x14ac:dyDescent="0.3">
      <c r="C53" s="575"/>
      <c r="D53" s="575"/>
      <c r="E53" s="575"/>
      <c r="F53" s="14"/>
      <c r="G53" s="576"/>
      <c r="H53" s="576"/>
      <c r="I53" s="32"/>
      <c r="J53" s="32"/>
      <c r="K53" s="32"/>
      <c r="L53" s="32"/>
      <c r="M53" s="32"/>
    </row>
    <row r="54" spans="3:13" ht="13.5" customHeight="1" x14ac:dyDescent="0.3">
      <c r="C54" s="570" t="s">
        <v>153</v>
      </c>
      <c r="D54" s="570"/>
      <c r="E54" s="570"/>
      <c r="F54" s="13"/>
      <c r="G54" s="571" t="s">
        <v>49</v>
      </c>
      <c r="H54" s="571"/>
      <c r="I54" s="64"/>
      <c r="J54" s="579"/>
      <c r="K54" s="579"/>
      <c r="L54" s="579"/>
      <c r="M54" s="32"/>
    </row>
    <row r="55" spans="3:13" ht="13.5" customHeight="1" x14ac:dyDescent="0.3">
      <c r="C55" s="302"/>
      <c r="D55" s="302"/>
      <c r="E55" s="302"/>
      <c r="F55" s="13"/>
      <c r="G55" s="305"/>
      <c r="H55" s="305"/>
      <c r="I55" s="298"/>
      <c r="J55" s="298"/>
      <c r="K55" s="298"/>
      <c r="L55" s="298"/>
      <c r="M55" s="32"/>
    </row>
    <row r="56" spans="3:13" ht="13.5" customHeight="1" x14ac:dyDescent="0.3">
      <c r="C56" s="302"/>
      <c r="D56" s="302"/>
      <c r="E56" s="302"/>
      <c r="F56" s="13"/>
      <c r="G56" s="305"/>
      <c r="H56" s="305"/>
      <c r="I56" s="298"/>
      <c r="J56" s="298"/>
      <c r="K56" s="298"/>
      <c r="L56" s="298"/>
      <c r="M56" s="32"/>
    </row>
    <row r="57" spans="3:13" ht="13.5" customHeight="1" x14ac:dyDescent="0.3">
      <c r="C57" s="302"/>
      <c r="D57" s="302"/>
      <c r="E57" s="302"/>
      <c r="F57" s="13"/>
      <c r="G57" s="305"/>
      <c r="H57" s="305"/>
      <c r="I57" s="298"/>
      <c r="J57" s="298"/>
      <c r="K57" s="298"/>
      <c r="L57" s="298"/>
      <c r="M57" s="32"/>
    </row>
    <row r="58" spans="3:13" ht="13.5" customHeight="1" x14ac:dyDescent="0.25">
      <c r="F58" s="399"/>
      <c r="G58" s="69"/>
      <c r="H58" s="68"/>
      <c r="I58" s="64"/>
      <c r="J58" s="64"/>
      <c r="K58" s="64"/>
      <c r="L58" s="64"/>
      <c r="M58" s="32"/>
    </row>
    <row r="59" spans="3:13" ht="13.5" customHeight="1" x14ac:dyDescent="0.3">
      <c r="C59" s="63"/>
      <c r="D59" s="63"/>
      <c r="E59" s="63"/>
      <c r="F59" s="14"/>
      <c r="G59" s="14"/>
      <c r="H59" s="14"/>
      <c r="I59" s="64"/>
      <c r="J59" s="64"/>
      <c r="K59" s="64"/>
      <c r="L59" s="64"/>
      <c r="M59" s="32"/>
    </row>
    <row r="60" spans="3:13" ht="13.5" customHeight="1" x14ac:dyDescent="0.3">
      <c r="C60" s="577" t="s">
        <v>154</v>
      </c>
      <c r="D60" s="577"/>
      <c r="E60" s="577"/>
      <c r="F60" s="13"/>
      <c r="G60" s="578" t="s">
        <v>50</v>
      </c>
      <c r="H60" s="578"/>
      <c r="I60" s="33"/>
      <c r="J60" s="64"/>
      <c r="K60" s="64"/>
      <c r="L60" s="64"/>
      <c r="M60" s="32"/>
    </row>
  </sheetData>
  <mergeCells count="55">
    <mergeCell ref="C60:E60"/>
    <mergeCell ref="G60:H60"/>
    <mergeCell ref="J54:L54"/>
    <mergeCell ref="I49:I52"/>
    <mergeCell ref="K49:K52"/>
    <mergeCell ref="I33:I36"/>
    <mergeCell ref="I37:I40"/>
    <mergeCell ref="C54:E54"/>
    <mergeCell ref="G54:H54"/>
    <mergeCell ref="I41:I44"/>
    <mergeCell ref="I45:I48"/>
    <mergeCell ref="C53:E53"/>
    <mergeCell ref="G53:H53"/>
    <mergeCell ref="F33:F36"/>
    <mergeCell ref="F37:F40"/>
    <mergeCell ref="F41:F44"/>
    <mergeCell ref="F45:F48"/>
    <mergeCell ref="F49:F52"/>
    <mergeCell ref="C1:M1"/>
    <mergeCell ref="F5:F8"/>
    <mergeCell ref="C2:M2"/>
    <mergeCell ref="C3:M3"/>
    <mergeCell ref="K5:K8"/>
    <mergeCell ref="I5:I8"/>
    <mergeCell ref="M5:M12"/>
    <mergeCell ref="I9:I12"/>
    <mergeCell ref="F9:F12"/>
    <mergeCell ref="K41:K44"/>
    <mergeCell ref="K45:K48"/>
    <mergeCell ref="M29:M32"/>
    <mergeCell ref="M41:M52"/>
    <mergeCell ref="L41:L52"/>
    <mergeCell ref="F13:F16"/>
    <mergeCell ref="F17:F20"/>
    <mergeCell ref="I13:I16"/>
    <mergeCell ref="I17:I20"/>
    <mergeCell ref="L29:L32"/>
    <mergeCell ref="K21:K24"/>
    <mergeCell ref="K25:K28"/>
    <mergeCell ref="K29:K32"/>
    <mergeCell ref="F25:F28"/>
    <mergeCell ref="I25:I28"/>
    <mergeCell ref="F29:F32"/>
    <mergeCell ref="I21:I24"/>
    <mergeCell ref="I29:I32"/>
    <mergeCell ref="F21:F24"/>
    <mergeCell ref="M13:M28"/>
    <mergeCell ref="K37:K40"/>
    <mergeCell ref="K9:K12"/>
    <mergeCell ref="K13:K16"/>
    <mergeCell ref="K17:K20"/>
    <mergeCell ref="L5:L12"/>
    <mergeCell ref="L13:L28"/>
    <mergeCell ref="L33:L40"/>
    <mergeCell ref="M33:M40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view="pageBreakPreview" topLeftCell="C1" zoomScale="85" zoomScaleNormal="91" zoomScaleSheetLayoutView="85" workbookViewId="0">
      <selection activeCell="E30" sqref="E30"/>
    </sheetView>
  </sheetViews>
  <sheetFormatPr defaultRowHeight="15" x14ac:dyDescent="0.25"/>
  <cols>
    <col min="1" max="1" width="5.42578125" hidden="1" customWidth="1"/>
    <col min="2" max="2" width="8.42578125" hidden="1" customWidth="1"/>
    <col min="3" max="3" width="6.42578125" customWidth="1"/>
    <col min="4" max="4" width="9.5703125" style="398" customWidth="1"/>
    <col min="5" max="5" width="38.42578125" style="398" customWidth="1"/>
    <col min="6" max="6" width="9.42578125" customWidth="1"/>
    <col min="8" max="8" width="37.85546875" customWidth="1"/>
    <col min="9" max="9" width="7" customWidth="1"/>
    <col min="10" max="10" width="22" style="398" customWidth="1"/>
    <col min="11" max="11" width="6.5703125" customWidth="1"/>
    <col min="12" max="12" width="9.7109375" customWidth="1"/>
    <col min="13" max="13" width="11.85546875" customWidth="1"/>
  </cols>
  <sheetData>
    <row r="1" spans="3:13" ht="23.25" customHeight="1" x14ac:dyDescent="0.25">
      <c r="C1" s="602" t="s">
        <v>36</v>
      </c>
      <c r="D1" s="603"/>
      <c r="E1" s="603"/>
      <c r="F1" s="603"/>
      <c r="G1" s="603"/>
      <c r="H1" s="603"/>
      <c r="I1" s="603"/>
      <c r="J1" s="603"/>
      <c r="K1" s="603"/>
      <c r="L1" s="603"/>
      <c r="M1" s="604"/>
    </row>
    <row r="2" spans="3:13" ht="15" customHeight="1" x14ac:dyDescent="0.25">
      <c r="C2" s="605" t="s">
        <v>0</v>
      </c>
      <c r="D2" s="606"/>
      <c r="E2" s="606"/>
      <c r="F2" s="606"/>
      <c r="G2" s="606"/>
      <c r="H2" s="606"/>
      <c r="I2" s="606"/>
      <c r="J2" s="606"/>
      <c r="K2" s="606"/>
      <c r="L2" s="606"/>
      <c r="M2" s="607"/>
    </row>
    <row r="3" spans="3:13" ht="17.25" customHeight="1" thickBot="1" x14ac:dyDescent="0.3">
      <c r="C3" s="565" t="s">
        <v>127</v>
      </c>
      <c r="D3" s="566"/>
      <c r="E3" s="566"/>
      <c r="F3" s="566"/>
      <c r="G3" s="566"/>
      <c r="H3" s="566"/>
      <c r="I3" s="566"/>
      <c r="J3" s="566"/>
      <c r="K3" s="566"/>
      <c r="L3" s="566"/>
      <c r="M3" s="567"/>
    </row>
    <row r="4" spans="3:13" ht="15" customHeight="1" thickBot="1" x14ac:dyDescent="0.3">
      <c r="C4" s="20" t="s">
        <v>1</v>
      </c>
      <c r="D4" s="2" t="s">
        <v>2</v>
      </c>
      <c r="E4" s="4" t="s">
        <v>3</v>
      </c>
      <c r="F4" s="3" t="s">
        <v>4</v>
      </c>
      <c r="G4" s="2" t="s">
        <v>5</v>
      </c>
      <c r="H4" s="4" t="s">
        <v>6</v>
      </c>
      <c r="I4" s="5" t="s">
        <v>7</v>
      </c>
      <c r="J4" s="6" t="s">
        <v>8</v>
      </c>
      <c r="K4" s="7" t="s">
        <v>9</v>
      </c>
      <c r="L4" s="21" t="s">
        <v>10</v>
      </c>
      <c r="M4" s="2" t="s">
        <v>63</v>
      </c>
    </row>
    <row r="5" spans="3:13" ht="14.1" customHeight="1" x14ac:dyDescent="0.25">
      <c r="C5" s="48">
        <v>1</v>
      </c>
      <c r="D5" s="508" t="s">
        <v>64</v>
      </c>
      <c r="E5" s="509" t="s">
        <v>74</v>
      </c>
      <c r="F5" s="586" t="s">
        <v>142</v>
      </c>
      <c r="G5" s="145"/>
      <c r="H5" s="70"/>
      <c r="I5" s="590">
        <f>'[1]SA-I'!I9</f>
        <v>6203</v>
      </c>
      <c r="J5" s="404" t="str">
        <f>'[1]SA-I'!J9</f>
        <v xml:space="preserve">SENIN, 18.30 -21.00  </v>
      </c>
      <c r="K5" s="592">
        <f>'[1]SA-I'!K9</f>
        <v>15</v>
      </c>
      <c r="L5" s="537" t="str">
        <f>'[1]SA-I'!$L$9</f>
        <v>2018/07 Periode</v>
      </c>
      <c r="M5" s="581">
        <v>5</v>
      </c>
    </row>
    <row r="6" spans="3:13" ht="14.1" customHeight="1" x14ac:dyDescent="0.25">
      <c r="C6" s="36">
        <v>2</v>
      </c>
      <c r="D6" s="426" t="s">
        <v>65</v>
      </c>
      <c r="E6" s="510" t="s">
        <v>75</v>
      </c>
      <c r="F6" s="587"/>
      <c r="G6" s="146"/>
      <c r="H6" s="147"/>
      <c r="I6" s="590"/>
      <c r="J6" s="405" t="s">
        <v>109</v>
      </c>
      <c r="K6" s="593"/>
      <c r="L6" s="537"/>
      <c r="M6" s="581"/>
    </row>
    <row r="7" spans="3:13" ht="14.1" customHeight="1" x14ac:dyDescent="0.25">
      <c r="C7" s="36">
        <v>3</v>
      </c>
      <c r="D7" s="426" t="s">
        <v>55</v>
      </c>
      <c r="E7" s="510" t="s">
        <v>56</v>
      </c>
      <c r="F7" s="587"/>
      <c r="G7" s="144"/>
      <c r="H7" s="148"/>
      <c r="I7" s="590"/>
      <c r="J7" s="405" t="s">
        <v>108</v>
      </c>
      <c r="K7" s="593"/>
      <c r="L7" s="537"/>
      <c r="M7" s="581"/>
    </row>
    <row r="8" spans="3:13" ht="14.1" customHeight="1" thickBot="1" x14ac:dyDescent="0.3">
      <c r="C8" s="49">
        <v>4</v>
      </c>
      <c r="D8" s="427" t="s">
        <v>66</v>
      </c>
      <c r="E8" s="511" t="s">
        <v>106</v>
      </c>
      <c r="F8" s="588"/>
      <c r="G8" s="49"/>
      <c r="H8" s="38"/>
      <c r="I8" s="591"/>
      <c r="J8" s="406" t="str">
        <f>'[1]SA-I'!J12</f>
        <v xml:space="preserve">KAMIS, 18.30 - 21.00 </v>
      </c>
      <c r="K8" s="594"/>
      <c r="L8" s="538"/>
      <c r="M8" s="582"/>
    </row>
    <row r="9" spans="3:13" ht="14.1" customHeight="1" x14ac:dyDescent="0.25">
      <c r="C9" s="52">
        <v>5</v>
      </c>
      <c r="D9" s="506" t="s">
        <v>14</v>
      </c>
      <c r="E9" s="507" t="s">
        <v>77</v>
      </c>
      <c r="F9" s="598" t="s">
        <v>143</v>
      </c>
      <c r="G9" s="48"/>
      <c r="H9" s="48"/>
      <c r="I9" s="589">
        <v>6204</v>
      </c>
      <c r="J9" s="407" t="str">
        <f t="shared" ref="J9:J20" si="0">J5</f>
        <v xml:space="preserve">SENIN, 18.30 -21.00  </v>
      </c>
      <c r="K9" s="597">
        <f>'[1]SA-I'!K13</f>
        <v>25</v>
      </c>
      <c r="L9" s="536" t="s">
        <v>102</v>
      </c>
      <c r="M9" s="580">
        <v>4</v>
      </c>
    </row>
    <row r="10" spans="3:13" ht="14.1" customHeight="1" x14ac:dyDescent="0.25">
      <c r="C10" s="36">
        <v>6</v>
      </c>
      <c r="D10" s="436" t="s">
        <v>11</v>
      </c>
      <c r="E10" s="439" t="s">
        <v>76</v>
      </c>
      <c r="F10" s="599"/>
      <c r="G10" s="36"/>
      <c r="H10" s="36"/>
      <c r="I10" s="595"/>
      <c r="J10" s="408" t="str">
        <f t="shared" si="0"/>
        <v>SELASA,18.30 - 21.00</v>
      </c>
      <c r="K10" s="529"/>
      <c r="L10" s="595"/>
      <c r="M10" s="595"/>
    </row>
    <row r="11" spans="3:13" ht="14.1" customHeight="1" x14ac:dyDescent="0.25">
      <c r="C11" s="36">
        <v>7</v>
      </c>
      <c r="D11" s="436" t="s">
        <v>13</v>
      </c>
      <c r="E11" s="439" t="s">
        <v>78</v>
      </c>
      <c r="F11" s="599"/>
      <c r="G11" s="36"/>
      <c r="H11" s="36"/>
      <c r="I11" s="595"/>
      <c r="J11" s="408" t="str">
        <f t="shared" si="0"/>
        <v>RABU, 18.30 - 21.00</v>
      </c>
      <c r="K11" s="529"/>
      <c r="L11" s="595"/>
      <c r="M11" s="595"/>
    </row>
    <row r="12" spans="3:13" ht="14.1" customHeight="1" thickBot="1" x14ac:dyDescent="0.3">
      <c r="C12" s="50">
        <v>8</v>
      </c>
      <c r="D12" s="512" t="s">
        <v>12</v>
      </c>
      <c r="E12" s="513" t="s">
        <v>79</v>
      </c>
      <c r="F12" s="600"/>
      <c r="G12" s="49"/>
      <c r="H12" s="49"/>
      <c r="I12" s="596"/>
      <c r="J12" s="406" t="str">
        <f t="shared" si="0"/>
        <v xml:space="preserve">KAMIS, 18.30 - 21.00 </v>
      </c>
      <c r="K12" s="530"/>
      <c r="L12" s="595"/>
      <c r="M12" s="595"/>
    </row>
    <row r="13" spans="3:13" ht="14.1" customHeight="1" x14ac:dyDescent="0.25">
      <c r="C13" s="48">
        <v>9</v>
      </c>
      <c r="D13" s="435" t="s">
        <v>14</v>
      </c>
      <c r="E13" s="438" t="s">
        <v>77</v>
      </c>
      <c r="F13" s="598" t="s">
        <v>144</v>
      </c>
      <c r="G13" s="52"/>
      <c r="H13" s="441"/>
      <c r="I13" s="608">
        <v>6503</v>
      </c>
      <c r="J13" s="407" t="str">
        <f t="shared" si="0"/>
        <v xml:space="preserve">SENIN, 18.30 -21.00  </v>
      </c>
      <c r="K13" s="597">
        <f>'[1]SA-I'!K17</f>
        <v>23</v>
      </c>
      <c r="L13" s="595"/>
      <c r="M13" s="595"/>
    </row>
    <row r="14" spans="3:13" ht="14.1" customHeight="1" x14ac:dyDescent="0.25">
      <c r="C14" s="36">
        <v>10</v>
      </c>
      <c r="D14" s="436" t="s">
        <v>11</v>
      </c>
      <c r="E14" s="439" t="s">
        <v>76</v>
      </c>
      <c r="F14" s="599"/>
      <c r="G14" s="36"/>
      <c r="H14" s="277"/>
      <c r="I14" s="529"/>
      <c r="J14" s="408" t="str">
        <f t="shared" si="0"/>
        <v>SELASA,18.30 - 21.00</v>
      </c>
      <c r="K14" s="529"/>
      <c r="L14" s="595"/>
      <c r="M14" s="595"/>
    </row>
    <row r="15" spans="3:13" ht="14.1" customHeight="1" x14ac:dyDescent="0.25">
      <c r="C15" s="36">
        <v>11</v>
      </c>
      <c r="D15" s="436" t="s">
        <v>13</v>
      </c>
      <c r="E15" s="439" t="s">
        <v>78</v>
      </c>
      <c r="F15" s="599"/>
      <c r="G15" s="36"/>
      <c r="H15" s="277"/>
      <c r="I15" s="529"/>
      <c r="J15" s="408" t="str">
        <f t="shared" si="0"/>
        <v>RABU, 18.30 - 21.00</v>
      </c>
      <c r="K15" s="529"/>
      <c r="L15" s="595"/>
      <c r="M15" s="595"/>
    </row>
    <row r="16" spans="3:13" ht="14.1" customHeight="1" thickBot="1" x14ac:dyDescent="0.3">
      <c r="C16" s="49">
        <v>12</v>
      </c>
      <c r="D16" s="437" t="s">
        <v>12</v>
      </c>
      <c r="E16" s="440" t="s">
        <v>79</v>
      </c>
      <c r="F16" s="600"/>
      <c r="G16" s="49"/>
      <c r="H16" s="278"/>
      <c r="I16" s="530"/>
      <c r="J16" s="406" t="str">
        <f t="shared" si="0"/>
        <v xml:space="preserve">KAMIS, 18.30 - 21.00 </v>
      </c>
      <c r="K16" s="530"/>
      <c r="L16" s="595"/>
      <c r="M16" s="595"/>
    </row>
    <row r="17" spans="3:13" ht="14.1" customHeight="1" x14ac:dyDescent="0.25">
      <c r="C17" s="52">
        <v>13</v>
      </c>
      <c r="D17" s="428" t="s">
        <v>14</v>
      </c>
      <c r="E17" s="416" t="s">
        <v>77</v>
      </c>
      <c r="F17" s="583" t="s">
        <v>145</v>
      </c>
      <c r="G17" s="149"/>
      <c r="H17" s="150"/>
      <c r="I17" s="608">
        <v>6505</v>
      </c>
      <c r="J17" s="404" t="str">
        <f t="shared" si="0"/>
        <v xml:space="preserve">SENIN, 18.30 -21.00  </v>
      </c>
      <c r="K17" s="592">
        <f>'[1]SA-I'!K21</f>
        <v>25</v>
      </c>
      <c r="L17" s="595"/>
      <c r="M17" s="595"/>
    </row>
    <row r="18" spans="3:13" ht="14.1" customHeight="1" x14ac:dyDescent="0.25">
      <c r="C18" s="36">
        <v>14</v>
      </c>
      <c r="D18" s="429" t="s">
        <v>11</v>
      </c>
      <c r="E18" s="417" t="s">
        <v>76</v>
      </c>
      <c r="F18" s="584"/>
      <c r="G18" s="143"/>
      <c r="H18" s="152"/>
      <c r="I18" s="609"/>
      <c r="J18" s="405" t="str">
        <f t="shared" si="0"/>
        <v>SELASA,18.30 - 21.00</v>
      </c>
      <c r="K18" s="593"/>
      <c r="L18" s="595"/>
      <c r="M18" s="595"/>
    </row>
    <row r="19" spans="3:13" ht="14.1" customHeight="1" x14ac:dyDescent="0.25">
      <c r="C19" s="36">
        <v>15</v>
      </c>
      <c r="D19" s="405" t="s">
        <v>13</v>
      </c>
      <c r="E19" s="418" t="s">
        <v>78</v>
      </c>
      <c r="F19" s="584"/>
      <c r="G19" s="144"/>
      <c r="H19" s="153"/>
      <c r="I19" s="609"/>
      <c r="J19" s="405" t="str">
        <f t="shared" si="0"/>
        <v>RABU, 18.30 - 21.00</v>
      </c>
      <c r="K19" s="593"/>
      <c r="L19" s="595"/>
      <c r="M19" s="595"/>
    </row>
    <row r="20" spans="3:13" ht="14.1" customHeight="1" thickBot="1" x14ac:dyDescent="0.3">
      <c r="C20" s="50">
        <v>16</v>
      </c>
      <c r="D20" s="514" t="s">
        <v>12</v>
      </c>
      <c r="E20" s="515" t="s">
        <v>79</v>
      </c>
      <c r="F20" s="585"/>
      <c r="G20" s="31"/>
      <c r="H20" s="53"/>
      <c r="I20" s="610"/>
      <c r="J20" s="406" t="str">
        <f t="shared" si="0"/>
        <v xml:space="preserve">KAMIS, 18.30 - 21.00 </v>
      </c>
      <c r="K20" s="594"/>
      <c r="L20" s="596"/>
      <c r="M20" s="596"/>
    </row>
    <row r="21" spans="3:13" ht="14.1" customHeight="1" x14ac:dyDescent="0.25">
      <c r="C21" s="48">
        <v>17</v>
      </c>
      <c r="D21" s="430" t="s">
        <v>15</v>
      </c>
      <c r="E21" s="518" t="s">
        <v>16</v>
      </c>
      <c r="F21" s="583" t="s">
        <v>146</v>
      </c>
      <c r="G21" s="48"/>
      <c r="H21" s="155"/>
      <c r="I21" s="589">
        <v>6202</v>
      </c>
      <c r="J21" s="409" t="str">
        <f t="shared" ref="J21:J24" si="1">J17</f>
        <v xml:space="preserve">SENIN, 18.30 -21.00  </v>
      </c>
      <c r="K21" s="592"/>
      <c r="L21" s="536" t="str">
        <f>'[1]SA-I'!$L$25</f>
        <v>2019/03 Periode</v>
      </c>
      <c r="M21" s="580">
        <v>3</v>
      </c>
    </row>
    <row r="22" spans="3:13" ht="14.1" customHeight="1" x14ac:dyDescent="0.25">
      <c r="C22" s="36">
        <v>18</v>
      </c>
      <c r="D22" s="431" t="s">
        <v>17</v>
      </c>
      <c r="E22" s="519" t="s">
        <v>18</v>
      </c>
      <c r="F22" s="584"/>
      <c r="G22" s="36"/>
      <c r="H22" s="151"/>
      <c r="I22" s="590"/>
      <c r="J22" s="410" t="str">
        <f t="shared" si="1"/>
        <v>SELASA,18.30 - 21.00</v>
      </c>
      <c r="K22" s="593"/>
      <c r="L22" s="537"/>
      <c r="M22" s="581"/>
    </row>
    <row r="23" spans="3:13" ht="14.1" customHeight="1" x14ac:dyDescent="0.25">
      <c r="C23" s="36">
        <v>19</v>
      </c>
      <c r="D23" s="431" t="s">
        <v>84</v>
      </c>
      <c r="E23" s="519" t="s">
        <v>85</v>
      </c>
      <c r="F23" s="584"/>
      <c r="G23" s="36"/>
      <c r="H23" s="151"/>
      <c r="I23" s="590"/>
      <c r="J23" s="410" t="str">
        <f t="shared" si="1"/>
        <v>RABU, 18.30 - 21.00</v>
      </c>
      <c r="K23" s="593"/>
      <c r="L23" s="537"/>
      <c r="M23" s="581"/>
    </row>
    <row r="24" spans="3:13" ht="14.1" customHeight="1" thickBot="1" x14ac:dyDescent="0.3">
      <c r="C24" s="49">
        <v>20</v>
      </c>
      <c r="D24" s="432" t="s">
        <v>19</v>
      </c>
      <c r="E24" s="520" t="s">
        <v>20</v>
      </c>
      <c r="F24" s="585"/>
      <c r="G24" s="49"/>
      <c r="H24" s="154"/>
      <c r="I24" s="591"/>
      <c r="J24" s="411" t="str">
        <f t="shared" si="1"/>
        <v xml:space="preserve">KAMIS, 18.30 - 21.00 </v>
      </c>
      <c r="K24" s="594"/>
      <c r="L24" s="537"/>
      <c r="M24" s="582"/>
    </row>
    <row r="25" spans="3:13" ht="14.1" customHeight="1" x14ac:dyDescent="0.25">
      <c r="C25" s="52">
        <v>21</v>
      </c>
      <c r="D25" s="516" t="s">
        <v>23</v>
      </c>
      <c r="E25" s="517" t="s">
        <v>81</v>
      </c>
      <c r="F25" s="586" t="s">
        <v>147</v>
      </c>
      <c r="G25" s="73"/>
      <c r="H25" s="156"/>
      <c r="I25" s="608">
        <f>'[1]SA-I'!$I$29</f>
        <v>6603</v>
      </c>
      <c r="J25" s="412" t="str">
        <f t="shared" ref="J25:J28" si="2">J17</f>
        <v xml:space="preserve">SENIN, 18.30 -21.00  </v>
      </c>
      <c r="K25" s="624"/>
      <c r="L25" s="536" t="str">
        <f>'[1]SA-I'!$L$29</f>
        <v>2019/07 Periode</v>
      </c>
      <c r="M25" s="580">
        <v>2</v>
      </c>
    </row>
    <row r="26" spans="3:13" ht="14.1" customHeight="1" x14ac:dyDescent="0.25">
      <c r="C26" s="36">
        <v>22</v>
      </c>
      <c r="D26" s="408" t="s">
        <v>25</v>
      </c>
      <c r="E26" s="419" t="s">
        <v>80</v>
      </c>
      <c r="F26" s="587"/>
      <c r="G26" s="74"/>
      <c r="H26" s="159"/>
      <c r="I26" s="529"/>
      <c r="J26" s="410" t="str">
        <f t="shared" si="2"/>
        <v>SELASA,18.30 - 21.00</v>
      </c>
      <c r="K26" s="625"/>
      <c r="L26" s="537"/>
      <c r="M26" s="581"/>
    </row>
    <row r="27" spans="3:13" ht="14.1" customHeight="1" x14ac:dyDescent="0.25">
      <c r="C27" s="36">
        <v>23</v>
      </c>
      <c r="D27" s="408" t="s">
        <v>22</v>
      </c>
      <c r="E27" s="419" t="s">
        <v>83</v>
      </c>
      <c r="F27" s="587"/>
      <c r="G27" s="160"/>
      <c r="H27" s="161"/>
      <c r="I27" s="529"/>
      <c r="J27" s="410" t="str">
        <f t="shared" si="2"/>
        <v>RABU, 18.30 - 21.00</v>
      </c>
      <c r="K27" s="625"/>
      <c r="L27" s="537"/>
      <c r="M27" s="581"/>
    </row>
    <row r="28" spans="3:13" ht="13.5" customHeight="1" thickBot="1" x14ac:dyDescent="0.3">
      <c r="C28" s="50">
        <v>24</v>
      </c>
      <c r="D28" s="516" t="s">
        <v>24</v>
      </c>
      <c r="E28" s="420" t="s">
        <v>82</v>
      </c>
      <c r="F28" s="588"/>
      <c r="G28" s="75"/>
      <c r="H28" s="162"/>
      <c r="I28" s="530"/>
      <c r="J28" s="413" t="str">
        <f t="shared" si="2"/>
        <v xml:space="preserve">KAMIS, 18.30 - 21.00 </v>
      </c>
      <c r="K28" s="626"/>
      <c r="L28" s="537"/>
      <c r="M28" s="581"/>
    </row>
    <row r="29" spans="3:13" s="139" customFormat="1" ht="14.1" customHeight="1" x14ac:dyDescent="0.25">
      <c r="C29" s="48">
        <v>25</v>
      </c>
      <c r="D29" s="524" t="str">
        <f t="shared" ref="D29:E32" si="3">D37</f>
        <v>EKF4150</v>
      </c>
      <c r="E29" s="521" t="str">
        <f t="shared" si="3"/>
        <v>Sistem Informasi Manajemen</v>
      </c>
      <c r="F29" s="586" t="s">
        <v>148</v>
      </c>
      <c r="G29" s="451"/>
      <c r="H29" s="452"/>
      <c r="I29" s="528">
        <v>6203</v>
      </c>
      <c r="J29" s="407" t="str">
        <f t="shared" ref="J29:J32" si="4">J25</f>
        <v xml:space="preserve">SENIN, 18.30 -21.00  </v>
      </c>
      <c r="K29" s="453"/>
      <c r="L29" s="618"/>
      <c r="M29" s="601">
        <v>1</v>
      </c>
    </row>
    <row r="30" spans="3:13" s="139" customFormat="1" ht="14.1" customHeight="1" x14ac:dyDescent="0.25">
      <c r="C30" s="36">
        <v>26</v>
      </c>
      <c r="D30" s="525" t="str">
        <f t="shared" si="3"/>
        <v>EKA4072</v>
      </c>
      <c r="E30" s="522" t="str">
        <f t="shared" si="3"/>
        <v>PERPAJAKAN II</v>
      </c>
      <c r="F30" s="614"/>
      <c r="G30" s="454"/>
      <c r="H30" s="455"/>
      <c r="I30" s="554"/>
      <c r="J30" s="408" t="str">
        <f t="shared" si="4"/>
        <v>SELASA,18.30 - 21.00</v>
      </c>
      <c r="K30" s="456"/>
      <c r="L30" s="619"/>
      <c r="M30" s="554"/>
    </row>
    <row r="31" spans="3:13" s="139" customFormat="1" ht="14.1" customHeight="1" x14ac:dyDescent="0.25">
      <c r="C31" s="36">
        <v>27</v>
      </c>
      <c r="D31" s="525" t="str">
        <f t="shared" si="3"/>
        <v>EKA4012</v>
      </c>
      <c r="E31" s="522" t="str">
        <f t="shared" si="3"/>
        <v>AKUNTANSI KEUANGAN MENENGAH II</v>
      </c>
      <c r="F31" s="614"/>
      <c r="G31" s="454"/>
      <c r="H31" s="455"/>
      <c r="I31" s="554"/>
      <c r="J31" s="408" t="str">
        <f t="shared" si="4"/>
        <v>RABU, 18.30 - 21.00</v>
      </c>
      <c r="K31" s="456"/>
      <c r="L31" s="619"/>
      <c r="M31" s="554"/>
    </row>
    <row r="32" spans="3:13" s="139" customFormat="1" ht="14.1" customHeight="1" thickBot="1" x14ac:dyDescent="0.3">
      <c r="C32" s="49">
        <v>28</v>
      </c>
      <c r="D32" s="526" t="str">
        <f t="shared" si="3"/>
        <v>EKF4102</v>
      </c>
      <c r="E32" s="523" t="str">
        <f t="shared" si="3"/>
        <v>MANAJEMEN KEUANGAN II</v>
      </c>
      <c r="F32" s="615"/>
      <c r="G32" s="457"/>
      <c r="H32" s="458"/>
      <c r="I32" s="554"/>
      <c r="J32" s="406" t="str">
        <f t="shared" si="4"/>
        <v xml:space="preserve">KAMIS, 18.30 - 21.00 </v>
      </c>
      <c r="K32" s="459"/>
      <c r="L32" s="619"/>
      <c r="M32" s="554"/>
    </row>
    <row r="33" spans="3:19" s="139" customFormat="1" ht="14.1" customHeight="1" x14ac:dyDescent="0.25">
      <c r="C33" s="48">
        <v>29</v>
      </c>
      <c r="D33" s="524" t="str">
        <f t="shared" ref="D33:D36" si="5">D29</f>
        <v>EKF4150</v>
      </c>
      <c r="E33" s="521" t="str">
        <f t="shared" ref="E33:E36" si="6">E29</f>
        <v>Sistem Informasi Manajemen</v>
      </c>
      <c r="F33" s="616" t="s">
        <v>149</v>
      </c>
      <c r="G33" s="451"/>
      <c r="H33" s="460"/>
      <c r="I33" s="621">
        <v>6205</v>
      </c>
      <c r="J33" s="461" t="str">
        <f t="shared" ref="J33:J36" si="7">J29</f>
        <v xml:space="preserve">SENIN, 18.30 -21.00  </v>
      </c>
      <c r="K33" s="453"/>
      <c r="L33" s="619"/>
      <c r="M33" s="554"/>
    </row>
    <row r="34" spans="3:19" s="139" customFormat="1" ht="14.1" customHeight="1" x14ac:dyDescent="0.25">
      <c r="C34" s="36">
        <v>30</v>
      </c>
      <c r="D34" s="525" t="str">
        <f t="shared" si="5"/>
        <v>EKA4072</v>
      </c>
      <c r="E34" s="522" t="str">
        <f t="shared" si="6"/>
        <v>PERPAJAKAN II</v>
      </c>
      <c r="F34" s="614"/>
      <c r="G34" s="454"/>
      <c r="H34" s="462"/>
      <c r="I34" s="622"/>
      <c r="J34" s="463" t="str">
        <f t="shared" si="7"/>
        <v>SELASA,18.30 - 21.00</v>
      </c>
      <c r="K34" s="456"/>
      <c r="L34" s="619"/>
      <c r="M34" s="554"/>
    </row>
    <row r="35" spans="3:19" s="139" customFormat="1" ht="14.1" customHeight="1" x14ac:dyDescent="0.25">
      <c r="C35" s="36">
        <v>31</v>
      </c>
      <c r="D35" s="525" t="str">
        <f t="shared" si="5"/>
        <v>EKA4012</v>
      </c>
      <c r="E35" s="522" t="str">
        <f t="shared" si="6"/>
        <v>AKUNTANSI KEUANGAN MENENGAH II</v>
      </c>
      <c r="F35" s="614"/>
      <c r="G35" s="454"/>
      <c r="H35" s="462"/>
      <c r="I35" s="622"/>
      <c r="J35" s="463" t="str">
        <f t="shared" si="7"/>
        <v>RABU, 18.30 - 21.00</v>
      </c>
      <c r="K35" s="456"/>
      <c r="L35" s="619"/>
      <c r="M35" s="554"/>
    </row>
    <row r="36" spans="3:19" s="139" customFormat="1" ht="14.1" customHeight="1" thickBot="1" x14ac:dyDescent="0.3">
      <c r="C36" s="49">
        <v>32</v>
      </c>
      <c r="D36" s="526" t="str">
        <f t="shared" si="5"/>
        <v>EKF4102</v>
      </c>
      <c r="E36" s="527" t="str">
        <f t="shared" si="6"/>
        <v>MANAJEMEN KEUANGAN II</v>
      </c>
      <c r="F36" s="615"/>
      <c r="G36" s="464"/>
      <c r="H36" s="465"/>
      <c r="I36" s="623"/>
      <c r="J36" s="406" t="str">
        <f t="shared" si="7"/>
        <v xml:space="preserve">KAMIS, 18.30 - 21.00 </v>
      </c>
      <c r="K36" s="466"/>
      <c r="L36" s="619"/>
      <c r="M36" s="554"/>
    </row>
    <row r="37" spans="3:19" s="139" customFormat="1" ht="14.1" customHeight="1" x14ac:dyDescent="0.25">
      <c r="C37" s="52">
        <v>33</v>
      </c>
      <c r="D37" s="467" t="s">
        <v>32</v>
      </c>
      <c r="E37" s="468" t="s">
        <v>33</v>
      </c>
      <c r="F37" s="587" t="s">
        <v>150</v>
      </c>
      <c r="G37" s="469"/>
      <c r="H37" s="470"/>
      <c r="I37" s="609">
        <v>6510</v>
      </c>
      <c r="J37" s="471" t="str">
        <f>J29</f>
        <v xml:space="preserve">SENIN, 18.30 -21.00  </v>
      </c>
      <c r="K37" s="472"/>
      <c r="L37" s="619"/>
      <c r="M37" s="554"/>
      <c r="P37" s="473"/>
    </row>
    <row r="38" spans="3:19" s="139" customFormat="1" ht="14.1" customHeight="1" x14ac:dyDescent="0.25">
      <c r="C38" s="36">
        <v>34</v>
      </c>
      <c r="D38" s="474" t="s">
        <v>30</v>
      </c>
      <c r="E38" s="475" t="s">
        <v>31</v>
      </c>
      <c r="F38" s="587"/>
      <c r="G38" s="244"/>
      <c r="H38" s="476"/>
      <c r="I38" s="609"/>
      <c r="J38" s="477" t="str">
        <f>J30</f>
        <v>SELASA,18.30 - 21.00</v>
      </c>
      <c r="K38" s="472"/>
      <c r="L38" s="619"/>
      <c r="M38" s="554"/>
      <c r="P38" s="473"/>
    </row>
    <row r="39" spans="3:19" s="139" customFormat="1" ht="14.1" customHeight="1" x14ac:dyDescent="0.25">
      <c r="C39" s="36">
        <v>35</v>
      </c>
      <c r="D39" s="474" t="s">
        <v>26</v>
      </c>
      <c r="E39" s="475" t="s">
        <v>27</v>
      </c>
      <c r="F39" s="587"/>
      <c r="G39" s="244"/>
      <c r="H39" s="476"/>
      <c r="I39" s="609"/>
      <c r="J39" s="477" t="str">
        <f>J31</f>
        <v>RABU, 18.30 - 21.00</v>
      </c>
      <c r="K39" s="472"/>
      <c r="L39" s="619"/>
      <c r="M39" s="554"/>
    </row>
    <row r="40" spans="3:19" s="139" customFormat="1" ht="14.1" customHeight="1" thickBot="1" x14ac:dyDescent="0.3">
      <c r="C40" s="49">
        <v>36</v>
      </c>
      <c r="D40" s="478" t="s">
        <v>28</v>
      </c>
      <c r="E40" s="479" t="s">
        <v>29</v>
      </c>
      <c r="F40" s="588"/>
      <c r="G40" s="245"/>
      <c r="H40" s="480"/>
      <c r="I40" s="610"/>
      <c r="J40" s="481" t="str">
        <f>J32</f>
        <v xml:space="preserve">KAMIS, 18.30 - 21.00 </v>
      </c>
      <c r="K40" s="482"/>
      <c r="L40" s="620"/>
      <c r="M40" s="555"/>
    </row>
    <row r="41" spans="3:19" s="139" customFormat="1" ht="14.1" customHeight="1" x14ac:dyDescent="0.25">
      <c r="C41" s="132"/>
      <c r="D41" s="433"/>
      <c r="E41" s="421"/>
      <c r="F41" s="133"/>
      <c r="G41" s="134"/>
      <c r="H41" s="135"/>
      <c r="I41" s="71"/>
      <c r="J41" s="414"/>
      <c r="K41" s="136"/>
      <c r="L41" s="137"/>
      <c r="M41" s="138"/>
    </row>
    <row r="42" spans="3:19" ht="14.1" customHeight="1" x14ac:dyDescent="0.3">
      <c r="C42" s="570" t="s">
        <v>153</v>
      </c>
      <c r="D42" s="570"/>
      <c r="E42" s="570"/>
      <c r="F42" s="612"/>
      <c r="G42" s="613" t="s">
        <v>126</v>
      </c>
      <c r="H42" s="613"/>
      <c r="I42" s="42"/>
      <c r="J42" s="415" t="s">
        <v>35</v>
      </c>
      <c r="K42" s="43"/>
      <c r="L42" s="43"/>
      <c r="M42" s="35"/>
      <c r="S42" s="55"/>
    </row>
    <row r="43" spans="3:19" ht="14.1" customHeight="1" x14ac:dyDescent="0.3">
      <c r="C43" s="44"/>
      <c r="D43" s="434"/>
      <c r="E43" s="422"/>
      <c r="F43" s="612"/>
      <c r="G43" s="41"/>
      <c r="H43" s="300"/>
      <c r="I43" s="42"/>
      <c r="K43" s="43"/>
    </row>
    <row r="44" spans="3:19" ht="14.1" customHeight="1" x14ac:dyDescent="0.3">
      <c r="C44" s="15"/>
      <c r="D44" s="423"/>
      <c r="E44" s="423"/>
      <c r="F44" s="612"/>
      <c r="G44" s="617"/>
      <c r="H44" s="617"/>
      <c r="I44" s="42"/>
      <c r="J44" s="415"/>
      <c r="K44" s="43"/>
    </row>
    <row r="45" spans="3:19" ht="14.1" customHeight="1" x14ac:dyDescent="0.3">
      <c r="C45" s="15"/>
      <c r="D45" s="424"/>
      <c r="E45" s="424"/>
      <c r="F45" s="612"/>
      <c r="G45" s="17"/>
      <c r="H45" s="18"/>
      <c r="I45" s="42"/>
      <c r="J45" s="415"/>
      <c r="K45" s="43"/>
    </row>
    <row r="46" spans="3:19" ht="14.1" customHeight="1" x14ac:dyDescent="0.3">
      <c r="C46" s="16" t="s">
        <v>124</v>
      </c>
      <c r="D46" s="425"/>
      <c r="E46" s="425"/>
      <c r="F46" s="19"/>
      <c r="G46" s="611" t="s">
        <v>125</v>
      </c>
      <c r="H46" s="611"/>
      <c r="I46" s="42"/>
      <c r="J46" s="415"/>
      <c r="K46" s="43"/>
    </row>
    <row r="47" spans="3:19" ht="14.1" customHeight="1" x14ac:dyDescent="0.3">
      <c r="C47" s="16"/>
      <c r="D47" s="425"/>
      <c r="E47" s="425"/>
      <c r="F47" s="19"/>
      <c r="G47" s="299"/>
      <c r="H47" s="299"/>
      <c r="I47" s="42"/>
      <c r="J47" s="415"/>
      <c r="K47" s="43"/>
    </row>
    <row r="49" spans="8:8" x14ac:dyDescent="0.25">
      <c r="H49" s="273"/>
    </row>
  </sheetData>
  <mergeCells count="42">
    <mergeCell ref="C42:E42"/>
    <mergeCell ref="L25:L28"/>
    <mergeCell ref="L29:L40"/>
    <mergeCell ref="I33:I36"/>
    <mergeCell ref="I25:I28"/>
    <mergeCell ref="I29:I32"/>
    <mergeCell ref="K25:K28"/>
    <mergeCell ref="F25:F28"/>
    <mergeCell ref="G46:H46"/>
    <mergeCell ref="F42:F45"/>
    <mergeCell ref="G42:H42"/>
    <mergeCell ref="F29:F32"/>
    <mergeCell ref="F33:F36"/>
    <mergeCell ref="G44:H44"/>
    <mergeCell ref="M25:M28"/>
    <mergeCell ref="F37:F40"/>
    <mergeCell ref="M29:M40"/>
    <mergeCell ref="C1:M1"/>
    <mergeCell ref="C2:M2"/>
    <mergeCell ref="C3:M3"/>
    <mergeCell ref="I17:I20"/>
    <mergeCell ref="I5:I8"/>
    <mergeCell ref="K5:K8"/>
    <mergeCell ref="K17:K20"/>
    <mergeCell ref="M5:M8"/>
    <mergeCell ref="F17:F20"/>
    <mergeCell ref="M9:M20"/>
    <mergeCell ref="I9:I12"/>
    <mergeCell ref="I13:I16"/>
    <mergeCell ref="I37:I40"/>
    <mergeCell ref="M21:M24"/>
    <mergeCell ref="F21:F24"/>
    <mergeCell ref="L5:L8"/>
    <mergeCell ref="F5:F8"/>
    <mergeCell ref="L21:L24"/>
    <mergeCell ref="I21:I24"/>
    <mergeCell ref="K21:K24"/>
    <mergeCell ref="L9:L20"/>
    <mergeCell ref="K9:K12"/>
    <mergeCell ref="K13:K16"/>
    <mergeCell ref="F9:F12"/>
    <mergeCell ref="F13:F16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C1" zoomScale="85" zoomScaleNormal="85" zoomScaleSheetLayoutView="85" workbookViewId="0">
      <selection activeCell="L9" sqref="L9:L20"/>
    </sheetView>
  </sheetViews>
  <sheetFormatPr defaultRowHeight="15.75" x14ac:dyDescent="0.25"/>
  <cols>
    <col min="1" max="2" width="15" hidden="1" customWidth="1"/>
    <col min="3" max="3" width="6.140625" customWidth="1"/>
    <col min="4" max="4" width="10.140625" customWidth="1"/>
    <col min="5" max="5" width="36.5703125" customWidth="1"/>
    <col min="6" max="6" width="8.85546875" style="392" customWidth="1"/>
    <col min="7" max="7" width="7.7109375" customWidth="1"/>
    <col min="8" max="8" width="32.5703125" customWidth="1"/>
    <col min="9" max="9" width="8.85546875" customWidth="1"/>
    <col min="10" max="10" width="22.140625" style="499" bestFit="1" customWidth="1"/>
    <col min="11" max="11" width="7.140625" customWidth="1"/>
    <col min="12" max="12" width="11.28515625" style="397" customWidth="1"/>
    <col min="13" max="13" width="9.5703125" customWidth="1"/>
  </cols>
  <sheetData>
    <row r="1" spans="3:13" ht="20.25" customHeight="1" x14ac:dyDescent="0.25">
      <c r="C1" s="602" t="s">
        <v>36</v>
      </c>
      <c r="D1" s="603"/>
      <c r="E1" s="603"/>
      <c r="F1" s="603"/>
      <c r="G1" s="603"/>
      <c r="H1" s="603"/>
      <c r="I1" s="603"/>
      <c r="J1" s="603"/>
      <c r="K1" s="603"/>
      <c r="L1" s="603"/>
      <c r="M1" s="604"/>
    </row>
    <row r="2" spans="3:13" ht="18" customHeight="1" x14ac:dyDescent="0.25">
      <c r="C2" s="656" t="s">
        <v>37</v>
      </c>
      <c r="D2" s="657"/>
      <c r="E2" s="657"/>
      <c r="F2" s="657"/>
      <c r="G2" s="657"/>
      <c r="H2" s="657"/>
      <c r="I2" s="657"/>
      <c r="J2" s="657"/>
      <c r="K2" s="657"/>
      <c r="L2" s="657"/>
      <c r="M2" s="658"/>
    </row>
    <row r="3" spans="3:13" ht="20.25" customHeight="1" thickBot="1" x14ac:dyDescent="0.3">
      <c r="C3" s="565" t="s">
        <v>128</v>
      </c>
      <c r="D3" s="566"/>
      <c r="E3" s="566"/>
      <c r="F3" s="566"/>
      <c r="G3" s="566"/>
      <c r="H3" s="566"/>
      <c r="I3" s="566"/>
      <c r="J3" s="566"/>
      <c r="K3" s="566"/>
      <c r="L3" s="566"/>
      <c r="M3" s="567"/>
    </row>
    <row r="4" spans="3:13" ht="15" customHeight="1" thickBot="1" x14ac:dyDescent="0.3">
      <c r="C4" s="483" t="s">
        <v>1</v>
      </c>
      <c r="D4" s="484" t="s">
        <v>2</v>
      </c>
      <c r="E4" s="484" t="s">
        <v>3</v>
      </c>
      <c r="F4" s="484" t="s">
        <v>4</v>
      </c>
      <c r="G4" s="484" t="s">
        <v>38</v>
      </c>
      <c r="H4" s="484" t="s">
        <v>6</v>
      </c>
      <c r="I4" s="484" t="s">
        <v>7</v>
      </c>
      <c r="J4" s="491" t="s">
        <v>8</v>
      </c>
      <c r="K4" s="484" t="s">
        <v>9</v>
      </c>
      <c r="L4" s="484" t="s">
        <v>10</v>
      </c>
      <c r="M4" s="485" t="s">
        <v>63</v>
      </c>
    </row>
    <row r="5" spans="3:13" ht="15" customHeight="1" x14ac:dyDescent="0.25">
      <c r="C5" s="48">
        <v>1</v>
      </c>
      <c r="D5" s="73" t="s">
        <v>55</v>
      </c>
      <c r="E5" s="140" t="s">
        <v>56</v>
      </c>
      <c r="F5" s="586" t="s">
        <v>130</v>
      </c>
      <c r="G5" s="163"/>
      <c r="H5" s="174"/>
      <c r="I5" s="636">
        <v>6502</v>
      </c>
      <c r="J5" s="492" t="s">
        <v>59</v>
      </c>
      <c r="K5" s="647">
        <v>34</v>
      </c>
      <c r="L5" s="634" t="s">
        <v>73</v>
      </c>
      <c r="M5" s="645">
        <v>5</v>
      </c>
    </row>
    <row r="6" spans="3:13" ht="15" customHeight="1" x14ac:dyDescent="0.25">
      <c r="C6" s="52">
        <v>2</v>
      </c>
      <c r="D6" s="74" t="s">
        <v>65</v>
      </c>
      <c r="E6" s="141" t="s">
        <v>75</v>
      </c>
      <c r="F6" s="587"/>
      <c r="G6" s="143"/>
      <c r="H6" s="175"/>
      <c r="I6" s="637"/>
      <c r="J6" s="493" t="s">
        <v>60</v>
      </c>
      <c r="K6" s="648"/>
      <c r="L6" s="634"/>
      <c r="M6" s="659"/>
    </row>
    <row r="7" spans="3:13" ht="15" customHeight="1" x14ac:dyDescent="0.25">
      <c r="C7" s="36">
        <v>3</v>
      </c>
      <c r="D7" s="74" t="s">
        <v>64</v>
      </c>
      <c r="E7" s="141" t="s">
        <v>74</v>
      </c>
      <c r="F7" s="587"/>
      <c r="G7" s="36"/>
      <c r="H7" s="486"/>
      <c r="I7" s="637"/>
      <c r="J7" s="494" t="s">
        <v>61</v>
      </c>
      <c r="K7" s="648"/>
      <c r="L7" s="634"/>
      <c r="M7" s="659"/>
    </row>
    <row r="8" spans="3:13" ht="15" customHeight="1" thickBot="1" x14ac:dyDescent="0.3">
      <c r="C8" s="215">
        <v>4</v>
      </c>
      <c r="D8" s="388" t="s">
        <v>66</v>
      </c>
      <c r="E8" s="60" t="s">
        <v>106</v>
      </c>
      <c r="F8" s="588"/>
      <c r="G8" s="37"/>
      <c r="H8" s="58"/>
      <c r="I8" s="637"/>
      <c r="J8" s="495" t="s">
        <v>62</v>
      </c>
      <c r="K8" s="648"/>
      <c r="L8" s="634"/>
      <c r="M8" s="659"/>
    </row>
    <row r="9" spans="3:13" ht="15" customHeight="1" x14ac:dyDescent="0.25">
      <c r="C9" s="48">
        <v>5</v>
      </c>
      <c r="D9" s="73" t="str">
        <f t="shared" ref="D9:E12" si="0">D17</f>
        <v>EKA5312</v>
      </c>
      <c r="E9" s="156" t="str">
        <f t="shared" si="0"/>
        <v>Seminar Akuntansi Keuangan</v>
      </c>
      <c r="F9" s="653" t="s">
        <v>151</v>
      </c>
      <c r="G9" s="73"/>
      <c r="H9" s="156"/>
      <c r="I9" s="627">
        <v>6503</v>
      </c>
      <c r="J9" s="501" t="s">
        <v>59</v>
      </c>
      <c r="K9" s="644">
        <v>34</v>
      </c>
      <c r="L9" s="633" t="s">
        <v>100</v>
      </c>
      <c r="M9" s="645">
        <v>4</v>
      </c>
    </row>
    <row r="10" spans="3:13" ht="15" customHeight="1" x14ac:dyDescent="0.25">
      <c r="C10" s="36">
        <v>6</v>
      </c>
      <c r="D10" s="74" t="str">
        <f t="shared" si="0"/>
        <v>EKA4190</v>
      </c>
      <c r="E10" s="159" t="str">
        <f t="shared" si="0"/>
        <v>TEORI AKUNTANSI</v>
      </c>
      <c r="F10" s="654"/>
      <c r="G10" s="74"/>
      <c r="H10" s="159"/>
      <c r="I10" s="529"/>
      <c r="J10" s="502" t="s">
        <v>60</v>
      </c>
      <c r="K10" s="529"/>
      <c r="L10" s="638"/>
      <c r="M10" s="595"/>
    </row>
    <row r="11" spans="3:13" ht="15" customHeight="1" x14ac:dyDescent="0.25">
      <c r="C11" s="36">
        <v>7</v>
      </c>
      <c r="D11" s="74" t="str">
        <f t="shared" si="0"/>
        <v>EKA4200</v>
      </c>
      <c r="E11" s="159" t="str">
        <f t="shared" si="0"/>
        <v>Akuntansi Internasional</v>
      </c>
      <c r="F11" s="654"/>
      <c r="G11" s="74"/>
      <c r="H11" s="159"/>
      <c r="I11" s="529"/>
      <c r="J11" s="502" t="s">
        <v>61</v>
      </c>
      <c r="K11" s="529"/>
      <c r="L11" s="638"/>
      <c r="M11" s="595"/>
    </row>
    <row r="12" spans="3:13" ht="15" customHeight="1" thickBot="1" x14ac:dyDescent="0.3">
      <c r="C12" s="49">
        <v>8</v>
      </c>
      <c r="D12" s="75" t="str">
        <f t="shared" si="0"/>
        <v>EKA4060</v>
      </c>
      <c r="E12" s="162" t="str">
        <f t="shared" si="0"/>
        <v>Sistem Pengendalian Manajemen</v>
      </c>
      <c r="F12" s="655"/>
      <c r="G12" s="75"/>
      <c r="H12" s="162"/>
      <c r="I12" s="530"/>
      <c r="J12" s="503" t="s">
        <v>62</v>
      </c>
      <c r="K12" s="530"/>
      <c r="L12" s="638"/>
      <c r="M12" s="595"/>
    </row>
    <row r="13" spans="3:13" ht="15" customHeight="1" x14ac:dyDescent="0.25">
      <c r="C13" s="48">
        <v>9</v>
      </c>
      <c r="D13" s="73" t="str">
        <f t="shared" ref="D13:E16" si="1">D17</f>
        <v>EKA5312</v>
      </c>
      <c r="E13" s="140" t="str">
        <f t="shared" si="1"/>
        <v>Seminar Akuntansi Keuangan</v>
      </c>
      <c r="F13" s="627" t="s">
        <v>133</v>
      </c>
      <c r="G13" s="73"/>
      <c r="H13" s="291"/>
      <c r="I13" s="627">
        <v>6505</v>
      </c>
      <c r="J13" s="501" t="s">
        <v>59</v>
      </c>
      <c r="K13" s="644">
        <v>25</v>
      </c>
      <c r="L13" s="638"/>
      <c r="M13" s="595"/>
    </row>
    <row r="14" spans="3:13" ht="15" customHeight="1" x14ac:dyDescent="0.25">
      <c r="C14" s="36">
        <v>10</v>
      </c>
      <c r="D14" s="74" t="str">
        <f t="shared" si="1"/>
        <v>EKA4190</v>
      </c>
      <c r="E14" s="141" t="str">
        <f t="shared" si="1"/>
        <v>TEORI AKUNTANSI</v>
      </c>
      <c r="F14" s="529"/>
      <c r="G14" s="74"/>
      <c r="H14" s="292"/>
      <c r="I14" s="529"/>
      <c r="J14" s="502" t="s">
        <v>60</v>
      </c>
      <c r="K14" s="529"/>
      <c r="L14" s="638"/>
      <c r="M14" s="595"/>
    </row>
    <row r="15" spans="3:13" ht="15" customHeight="1" x14ac:dyDescent="0.25">
      <c r="C15" s="36">
        <v>11</v>
      </c>
      <c r="D15" s="74" t="str">
        <f t="shared" si="1"/>
        <v>EKA4200</v>
      </c>
      <c r="E15" s="141" t="str">
        <f t="shared" si="1"/>
        <v>Akuntansi Internasional</v>
      </c>
      <c r="F15" s="529"/>
      <c r="G15" s="74"/>
      <c r="H15" s="292"/>
      <c r="I15" s="529"/>
      <c r="J15" s="502" t="s">
        <v>61</v>
      </c>
      <c r="K15" s="529"/>
      <c r="L15" s="638"/>
      <c r="M15" s="595"/>
    </row>
    <row r="16" spans="3:13" ht="15" customHeight="1" thickBot="1" x14ac:dyDescent="0.3">
      <c r="C16" s="49">
        <v>12</v>
      </c>
      <c r="D16" s="75" t="str">
        <f t="shared" si="1"/>
        <v>EKA4060</v>
      </c>
      <c r="E16" s="293" t="str">
        <f t="shared" si="1"/>
        <v>Sistem Pengendalian Manajemen</v>
      </c>
      <c r="F16" s="530"/>
      <c r="G16" s="75"/>
      <c r="H16" s="294"/>
      <c r="I16" s="530"/>
      <c r="J16" s="503" t="s">
        <v>62</v>
      </c>
      <c r="K16" s="530"/>
      <c r="L16" s="638"/>
      <c r="M16" s="595"/>
    </row>
    <row r="17" spans="1:15" ht="15" customHeight="1" x14ac:dyDescent="0.25">
      <c r="C17" s="52">
        <v>13</v>
      </c>
      <c r="D17" s="177" t="s">
        <v>12</v>
      </c>
      <c r="E17" s="289" t="s">
        <v>79</v>
      </c>
      <c r="F17" s="627" t="s">
        <v>134</v>
      </c>
      <c r="G17" s="290"/>
      <c r="H17" s="247"/>
      <c r="I17" s="636">
        <v>6501</v>
      </c>
      <c r="J17" s="492" t="s">
        <v>59</v>
      </c>
      <c r="K17" s="647">
        <v>27</v>
      </c>
      <c r="L17" s="638"/>
      <c r="M17" s="595"/>
    </row>
    <row r="18" spans="1:15" ht="15" customHeight="1" x14ac:dyDescent="0.25">
      <c r="C18" s="52">
        <v>14</v>
      </c>
      <c r="D18" s="142" t="s">
        <v>11</v>
      </c>
      <c r="E18" s="178" t="s">
        <v>76</v>
      </c>
      <c r="F18" s="529"/>
      <c r="G18" s="179"/>
      <c r="H18" s="180"/>
      <c r="I18" s="637"/>
      <c r="J18" s="493" t="s">
        <v>60</v>
      </c>
      <c r="K18" s="648"/>
      <c r="L18" s="638"/>
      <c r="M18" s="595"/>
    </row>
    <row r="19" spans="1:15" ht="15" customHeight="1" x14ac:dyDescent="0.25">
      <c r="C19" s="36">
        <v>15</v>
      </c>
      <c r="D19" s="37" t="s">
        <v>13</v>
      </c>
      <c r="E19" s="181" t="s">
        <v>78</v>
      </c>
      <c r="F19" s="529"/>
      <c r="G19" s="182"/>
      <c r="H19" s="183"/>
      <c r="I19" s="637"/>
      <c r="J19" s="493" t="s">
        <v>61</v>
      </c>
      <c r="K19" s="648"/>
      <c r="L19" s="638"/>
      <c r="M19" s="595"/>
      <c r="O19" s="54"/>
    </row>
    <row r="20" spans="1:15" ht="15" customHeight="1" thickBot="1" x14ac:dyDescent="0.3">
      <c r="C20" s="52">
        <v>16</v>
      </c>
      <c r="D20" s="75" t="s">
        <v>14</v>
      </c>
      <c r="E20" s="184" t="s">
        <v>77</v>
      </c>
      <c r="F20" s="530"/>
      <c r="G20" s="185"/>
      <c r="H20" s="186"/>
      <c r="I20" s="640"/>
      <c r="J20" s="496" t="s">
        <v>62</v>
      </c>
      <c r="K20" s="649"/>
      <c r="L20" s="639"/>
      <c r="M20" s="596"/>
    </row>
    <row r="21" spans="1:15" ht="15" customHeight="1" x14ac:dyDescent="0.25">
      <c r="C21" s="36">
        <v>17</v>
      </c>
      <c r="D21" s="187" t="s">
        <v>84</v>
      </c>
      <c r="E21" s="188" t="s">
        <v>85</v>
      </c>
      <c r="F21" s="636" t="s">
        <v>136</v>
      </c>
      <c r="G21" s="189"/>
      <c r="H21" s="190"/>
      <c r="I21" s="636">
        <v>6205</v>
      </c>
      <c r="J21" s="492" t="s">
        <v>59</v>
      </c>
      <c r="K21" s="628">
        <v>33</v>
      </c>
      <c r="L21" s="633" t="s">
        <v>103</v>
      </c>
      <c r="M21" s="646">
        <v>3</v>
      </c>
    </row>
    <row r="22" spans="1:15" ht="15" customHeight="1" x14ac:dyDescent="0.25">
      <c r="C22" s="52">
        <v>18</v>
      </c>
      <c r="D22" s="157" t="s">
        <v>17</v>
      </c>
      <c r="E22" s="165" t="s">
        <v>18</v>
      </c>
      <c r="F22" s="637"/>
      <c r="G22" s="191"/>
      <c r="H22" s="192"/>
      <c r="I22" s="637"/>
      <c r="J22" s="493" t="s">
        <v>60</v>
      </c>
      <c r="K22" s="629"/>
      <c r="L22" s="634"/>
      <c r="M22" s="595"/>
    </row>
    <row r="23" spans="1:15" ht="15" customHeight="1" x14ac:dyDescent="0.25">
      <c r="C23" s="36">
        <v>19</v>
      </c>
      <c r="D23" s="157" t="s">
        <v>19</v>
      </c>
      <c r="E23" s="165" t="s">
        <v>20</v>
      </c>
      <c r="F23" s="637"/>
      <c r="G23" s="193"/>
      <c r="H23" s="161"/>
      <c r="I23" s="637"/>
      <c r="J23" s="493" t="s">
        <v>61</v>
      </c>
      <c r="K23" s="629"/>
      <c r="L23" s="634"/>
      <c r="M23" s="595"/>
    </row>
    <row r="24" spans="1:15" ht="15" customHeight="1" thickBot="1" x14ac:dyDescent="0.3">
      <c r="C24" s="52">
        <v>20</v>
      </c>
      <c r="D24" s="39" t="s">
        <v>15</v>
      </c>
      <c r="E24" s="194" t="s">
        <v>16</v>
      </c>
      <c r="F24" s="640"/>
      <c r="G24" s="195"/>
      <c r="H24" s="183"/>
      <c r="I24" s="637"/>
      <c r="J24" s="497" t="s">
        <v>62</v>
      </c>
      <c r="K24" s="630"/>
      <c r="L24" s="635"/>
      <c r="M24" s="596"/>
    </row>
    <row r="25" spans="1:15" ht="15" customHeight="1" x14ac:dyDescent="0.25">
      <c r="A25" t="s">
        <v>107</v>
      </c>
      <c r="C25" s="36">
        <v>21</v>
      </c>
      <c r="D25" s="163" t="s">
        <v>23</v>
      </c>
      <c r="E25" s="164" t="s">
        <v>81</v>
      </c>
      <c r="F25" s="627" t="s">
        <v>137</v>
      </c>
      <c r="G25" s="149"/>
      <c r="H25" s="197"/>
      <c r="I25" s="528">
        <v>6602</v>
      </c>
      <c r="J25" s="492" t="s">
        <v>59</v>
      </c>
      <c r="K25" s="628"/>
      <c r="L25" s="625" t="s">
        <v>155</v>
      </c>
      <c r="M25" s="631">
        <v>2</v>
      </c>
    </row>
    <row r="26" spans="1:15" ht="15" customHeight="1" x14ac:dyDescent="0.25">
      <c r="C26" s="52">
        <v>22</v>
      </c>
      <c r="D26" s="157" t="s">
        <v>25</v>
      </c>
      <c r="E26" s="165" t="s">
        <v>80</v>
      </c>
      <c r="F26" s="554"/>
      <c r="G26" s="176"/>
      <c r="H26" s="198"/>
      <c r="I26" s="556"/>
      <c r="J26" s="493" t="s">
        <v>60</v>
      </c>
      <c r="K26" s="629"/>
      <c r="L26" s="625"/>
      <c r="M26" s="631"/>
    </row>
    <row r="27" spans="1:15" ht="15" customHeight="1" x14ac:dyDescent="0.25">
      <c r="C27" s="36">
        <v>23</v>
      </c>
      <c r="D27" s="157" t="s">
        <v>22</v>
      </c>
      <c r="E27" s="165" t="s">
        <v>83</v>
      </c>
      <c r="F27" s="554"/>
      <c r="G27" s="201"/>
      <c r="H27" s="199"/>
      <c r="I27" s="556"/>
      <c r="J27" s="493" t="s">
        <v>61</v>
      </c>
      <c r="K27" s="629"/>
      <c r="L27" s="625"/>
      <c r="M27" s="631"/>
    </row>
    <row r="28" spans="1:15" ht="15" customHeight="1" thickBot="1" x14ac:dyDescent="0.3">
      <c r="C28" s="52">
        <v>24</v>
      </c>
      <c r="D28" s="166" t="s">
        <v>24</v>
      </c>
      <c r="E28" s="167" t="s">
        <v>82</v>
      </c>
      <c r="F28" s="555"/>
      <c r="G28" s="200"/>
      <c r="H28" s="202"/>
      <c r="I28" s="557"/>
      <c r="J28" s="496" t="s">
        <v>62</v>
      </c>
      <c r="K28" s="630"/>
      <c r="L28" s="625"/>
      <c r="M28" s="631"/>
    </row>
    <row r="29" spans="1:15" ht="15" customHeight="1" x14ac:dyDescent="0.25">
      <c r="C29" s="36">
        <v>25</v>
      </c>
      <c r="D29" s="168" t="s">
        <v>24</v>
      </c>
      <c r="E29" s="169" t="s">
        <v>82</v>
      </c>
      <c r="F29" s="627" t="s">
        <v>138</v>
      </c>
      <c r="G29" s="203"/>
      <c r="H29" s="135"/>
      <c r="I29" s="636">
        <v>6604</v>
      </c>
      <c r="J29" s="492" t="s">
        <v>59</v>
      </c>
      <c r="K29" s="628"/>
      <c r="L29" s="625"/>
      <c r="M29" s="631"/>
    </row>
    <row r="30" spans="1:15" ht="15" customHeight="1" x14ac:dyDescent="0.25">
      <c r="C30" s="52">
        <v>26</v>
      </c>
      <c r="D30" s="170" t="s">
        <v>23</v>
      </c>
      <c r="E30" s="158" t="s">
        <v>81</v>
      </c>
      <c r="F30" s="554"/>
      <c r="G30" s="201"/>
      <c r="H30" s="204"/>
      <c r="I30" s="637"/>
      <c r="J30" s="493" t="s">
        <v>60</v>
      </c>
      <c r="K30" s="629"/>
      <c r="L30" s="625"/>
      <c r="M30" s="631"/>
    </row>
    <row r="31" spans="1:15" ht="15" customHeight="1" x14ac:dyDescent="0.25">
      <c r="C31" s="36">
        <v>27</v>
      </c>
      <c r="D31" s="170" t="s">
        <v>25</v>
      </c>
      <c r="E31" s="158" t="s">
        <v>80</v>
      </c>
      <c r="F31" s="554"/>
      <c r="G31" s="205"/>
      <c r="H31" s="206"/>
      <c r="I31" s="637"/>
      <c r="J31" s="493" t="s">
        <v>61</v>
      </c>
      <c r="K31" s="629"/>
      <c r="L31" s="625"/>
      <c r="M31" s="631"/>
    </row>
    <row r="32" spans="1:15" ht="15" customHeight="1" thickBot="1" x14ac:dyDescent="0.3">
      <c r="C32" s="487">
        <v>28</v>
      </c>
      <c r="D32" s="488" t="s">
        <v>22</v>
      </c>
      <c r="E32" s="379" t="s">
        <v>83</v>
      </c>
      <c r="F32" s="555"/>
      <c r="G32" s="489"/>
      <c r="H32" s="490"/>
      <c r="I32" s="640"/>
      <c r="J32" s="497" t="s">
        <v>62</v>
      </c>
      <c r="K32" s="630"/>
      <c r="L32" s="626"/>
      <c r="M32" s="632"/>
    </row>
    <row r="33" spans="3:13" s="139" customFormat="1" ht="15" customHeight="1" x14ac:dyDescent="0.25">
      <c r="C33" s="48">
        <v>29</v>
      </c>
      <c r="D33" s="187" t="str">
        <f t="shared" ref="D33:E36" si="2">D41</f>
        <v>EKF4150</v>
      </c>
      <c r="E33" s="169" t="str">
        <f t="shared" si="2"/>
        <v>Sistem Informasi Manajemen</v>
      </c>
      <c r="F33" s="627" t="s">
        <v>139</v>
      </c>
      <c r="G33" s="149"/>
      <c r="H33" s="376"/>
      <c r="I33" s="627">
        <v>6209</v>
      </c>
      <c r="J33" s="492" t="s">
        <v>59</v>
      </c>
      <c r="K33" s="644"/>
      <c r="L33" s="633"/>
      <c r="M33" s="641">
        <v>1</v>
      </c>
    </row>
    <row r="34" spans="3:13" s="139" customFormat="1" ht="15" customHeight="1" x14ac:dyDescent="0.25">
      <c r="C34" s="36">
        <v>30</v>
      </c>
      <c r="D34" s="157" t="str">
        <f t="shared" si="2"/>
        <v>EKA4012</v>
      </c>
      <c r="E34" s="158" t="str">
        <f t="shared" si="2"/>
        <v>AKUNTANSI KEUANGAN MENENGAH II</v>
      </c>
      <c r="F34" s="554"/>
      <c r="G34" s="377"/>
      <c r="H34" s="378"/>
      <c r="I34" s="651"/>
      <c r="J34" s="493" t="s">
        <v>60</v>
      </c>
      <c r="K34" s="554"/>
      <c r="L34" s="642"/>
      <c r="M34" s="614"/>
    </row>
    <row r="35" spans="3:13" s="139" customFormat="1" ht="15" customHeight="1" x14ac:dyDescent="0.25">
      <c r="C35" s="36">
        <v>31</v>
      </c>
      <c r="D35" s="157" t="str">
        <f t="shared" si="2"/>
        <v>EKA4072</v>
      </c>
      <c r="E35" s="158" t="str">
        <f t="shared" si="2"/>
        <v>PERPAJAKAN II</v>
      </c>
      <c r="F35" s="554"/>
      <c r="G35" s="377"/>
      <c r="H35" s="378"/>
      <c r="I35" s="651"/>
      <c r="J35" s="493" t="s">
        <v>61</v>
      </c>
      <c r="K35" s="554"/>
      <c r="L35" s="642"/>
      <c r="M35" s="614"/>
    </row>
    <row r="36" spans="3:13" s="139" customFormat="1" ht="15" customHeight="1" thickBot="1" x14ac:dyDescent="0.3">
      <c r="C36" s="49">
        <v>32</v>
      </c>
      <c r="D36" s="39" t="str">
        <f t="shared" si="2"/>
        <v>EKF4102</v>
      </c>
      <c r="E36" s="379" t="str">
        <f t="shared" si="2"/>
        <v>Manajemen Keuangan II</v>
      </c>
      <c r="F36" s="555"/>
      <c r="G36" s="380"/>
      <c r="H36" s="381"/>
      <c r="I36" s="652"/>
      <c r="J36" s="497" t="s">
        <v>62</v>
      </c>
      <c r="K36" s="555"/>
      <c r="L36" s="642"/>
      <c r="M36" s="614"/>
    </row>
    <row r="37" spans="3:13" s="139" customFormat="1" ht="15" customHeight="1" x14ac:dyDescent="0.25">
      <c r="C37" s="36">
        <v>33</v>
      </c>
      <c r="D37" s="187" t="str">
        <f t="shared" ref="D37:E40" si="3">D33</f>
        <v>EKF4150</v>
      </c>
      <c r="E37" s="169" t="str">
        <f t="shared" si="3"/>
        <v>Sistem Informasi Manajemen</v>
      </c>
      <c r="F37" s="627" t="s">
        <v>140</v>
      </c>
      <c r="G37" s="149"/>
      <c r="H37" s="376"/>
      <c r="I37" s="627">
        <v>6511</v>
      </c>
      <c r="J37" s="492" t="s">
        <v>59</v>
      </c>
      <c r="K37" s="644"/>
      <c r="L37" s="642"/>
      <c r="M37" s="614"/>
    </row>
    <row r="38" spans="3:13" s="139" customFormat="1" ht="15" customHeight="1" thickBot="1" x14ac:dyDescent="0.3">
      <c r="C38" s="49">
        <v>34</v>
      </c>
      <c r="D38" s="157" t="str">
        <f t="shared" si="3"/>
        <v>EKA4012</v>
      </c>
      <c r="E38" s="158" t="str">
        <f t="shared" si="3"/>
        <v>AKUNTANSI KEUANGAN MENENGAH II</v>
      </c>
      <c r="F38" s="554"/>
      <c r="G38" s="377"/>
      <c r="H38" s="378"/>
      <c r="I38" s="651"/>
      <c r="J38" s="493" t="s">
        <v>60</v>
      </c>
      <c r="K38" s="554"/>
      <c r="L38" s="642"/>
      <c r="M38" s="614"/>
    </row>
    <row r="39" spans="3:13" s="139" customFormat="1" ht="15" customHeight="1" x14ac:dyDescent="0.25">
      <c r="C39" s="36">
        <v>35</v>
      </c>
      <c r="D39" s="157" t="str">
        <f t="shared" si="3"/>
        <v>EKA4072</v>
      </c>
      <c r="E39" s="158" t="str">
        <f t="shared" si="3"/>
        <v>PERPAJAKAN II</v>
      </c>
      <c r="F39" s="554"/>
      <c r="G39" s="377"/>
      <c r="H39" s="378"/>
      <c r="I39" s="651"/>
      <c r="J39" s="493" t="s">
        <v>61</v>
      </c>
      <c r="K39" s="554"/>
      <c r="L39" s="642"/>
      <c r="M39" s="614"/>
    </row>
    <row r="40" spans="3:13" s="139" customFormat="1" ht="15" customHeight="1" thickBot="1" x14ac:dyDescent="0.3">
      <c r="C40" s="49">
        <v>36</v>
      </c>
      <c r="D40" s="39" t="str">
        <f t="shared" si="3"/>
        <v>EKF4102</v>
      </c>
      <c r="E40" s="379" t="str">
        <f t="shared" si="3"/>
        <v>Manajemen Keuangan II</v>
      </c>
      <c r="F40" s="555"/>
      <c r="G40" s="380"/>
      <c r="H40" s="381"/>
      <c r="I40" s="652"/>
      <c r="J40" s="497" t="s">
        <v>62</v>
      </c>
      <c r="K40" s="555"/>
      <c r="L40" s="642"/>
      <c r="M40" s="614"/>
    </row>
    <row r="41" spans="3:13" s="139" customFormat="1" ht="15" customHeight="1" x14ac:dyDescent="0.25">
      <c r="C41" s="36">
        <v>37</v>
      </c>
      <c r="D41" s="163" t="str">
        <f>'[1]SA-K'!C33</f>
        <v>EKF4150</v>
      </c>
      <c r="E41" s="382" t="str">
        <f>'[1]SA-K'!D33</f>
        <v>Sistem Informasi Manajemen</v>
      </c>
      <c r="F41" s="651" t="s">
        <v>141</v>
      </c>
      <c r="G41" s="383"/>
      <c r="H41" s="384"/>
      <c r="I41" s="651">
        <v>6204</v>
      </c>
      <c r="J41" s="494" t="s">
        <v>59</v>
      </c>
      <c r="K41" s="650"/>
      <c r="L41" s="642"/>
      <c r="M41" s="614"/>
    </row>
    <row r="42" spans="3:13" s="139" customFormat="1" ht="15" customHeight="1" thickBot="1" x14ac:dyDescent="0.3">
      <c r="C42" s="49">
        <v>38</v>
      </c>
      <c r="D42" s="157" t="str">
        <f>'[1]SA-K'!C34</f>
        <v>EKA4012</v>
      </c>
      <c r="E42" s="158" t="str">
        <f>'[1]SA-K'!D34</f>
        <v>AKUNTANSI KEUANGAN MENENGAH II</v>
      </c>
      <c r="F42" s="554"/>
      <c r="G42" s="385"/>
      <c r="H42" s="386"/>
      <c r="I42" s="554"/>
      <c r="J42" s="494" t="s">
        <v>60</v>
      </c>
      <c r="K42" s="554"/>
      <c r="L42" s="642"/>
      <c r="M42" s="614"/>
    </row>
    <row r="43" spans="3:13" s="139" customFormat="1" ht="15" customHeight="1" x14ac:dyDescent="0.25">
      <c r="C43" s="36">
        <v>39</v>
      </c>
      <c r="D43" s="157" t="str">
        <f>'[1]SA-K'!C35</f>
        <v>EKA4072</v>
      </c>
      <c r="E43" s="158" t="str">
        <f>'[1]SA-K'!D35</f>
        <v>PERPAJAKAN II</v>
      </c>
      <c r="F43" s="554"/>
      <c r="G43" s="385"/>
      <c r="H43" s="386"/>
      <c r="I43" s="554"/>
      <c r="J43" s="494" t="s">
        <v>61</v>
      </c>
      <c r="K43" s="554"/>
      <c r="L43" s="642"/>
      <c r="M43" s="614"/>
    </row>
    <row r="44" spans="3:13" s="139" customFormat="1" ht="15" customHeight="1" thickBot="1" x14ac:dyDescent="0.3">
      <c r="C44" s="49">
        <v>40</v>
      </c>
      <c r="D44" s="39" t="str">
        <f>'[1]SA-K'!C36</f>
        <v>EKF4102</v>
      </c>
      <c r="E44" s="379" t="str">
        <f>'[1]SA-K'!D36</f>
        <v>Manajemen Keuangan II</v>
      </c>
      <c r="F44" s="555"/>
      <c r="G44" s="387"/>
      <c r="H44" s="200"/>
      <c r="I44" s="555"/>
      <c r="J44" s="497" t="s">
        <v>62</v>
      </c>
      <c r="K44" s="555"/>
      <c r="L44" s="643"/>
      <c r="M44" s="615"/>
    </row>
    <row r="45" spans="3:13" s="139" customFormat="1" ht="15" customHeight="1" x14ac:dyDescent="0.25">
      <c r="C45" s="132"/>
      <c r="D45" s="45"/>
      <c r="E45" s="46"/>
      <c r="F45" s="391"/>
      <c r="G45" s="171"/>
      <c r="H45" s="135"/>
      <c r="I45" s="172"/>
      <c r="J45" s="498"/>
      <c r="K45" s="172"/>
      <c r="L45" s="396"/>
      <c r="M45" s="172"/>
    </row>
    <row r="46" spans="3:13" ht="15" customHeight="1" x14ac:dyDescent="0.3">
      <c r="C46" s="570" t="s">
        <v>153</v>
      </c>
      <c r="D46" s="570"/>
      <c r="E46" s="570"/>
      <c r="F46" s="661"/>
      <c r="G46" s="617" t="s">
        <v>34</v>
      </c>
      <c r="H46" s="617"/>
      <c r="I46" s="1"/>
      <c r="J46" s="660" t="s">
        <v>35</v>
      </c>
      <c r="K46" s="660"/>
      <c r="L46" s="660"/>
      <c r="M46" s="32"/>
    </row>
    <row r="47" spans="3:13" ht="18.75" x14ac:dyDescent="0.3">
      <c r="C47" s="40"/>
      <c r="F47" s="661"/>
      <c r="I47" s="1"/>
      <c r="K47" s="28"/>
      <c r="L47" s="389"/>
      <c r="M47" s="32"/>
    </row>
    <row r="48" spans="3:13" ht="18.75" x14ac:dyDescent="0.3">
      <c r="C48" s="40"/>
      <c r="D48" s="40"/>
      <c r="E48" s="40"/>
      <c r="F48" s="390"/>
      <c r="G48" s="41"/>
      <c r="H48" s="27"/>
      <c r="I48" s="1"/>
      <c r="J48" s="500"/>
      <c r="K48" s="28"/>
      <c r="L48" s="389"/>
      <c r="M48" s="32"/>
    </row>
    <row r="49" spans="3:13" ht="18.75" x14ac:dyDescent="0.3">
      <c r="C49" s="570" t="s">
        <v>124</v>
      </c>
      <c r="D49" s="570"/>
      <c r="E49" s="570"/>
      <c r="F49" s="12"/>
      <c r="G49" s="617" t="s">
        <v>129</v>
      </c>
      <c r="H49" s="617"/>
      <c r="I49" s="1"/>
      <c r="J49" s="660" t="s">
        <v>39</v>
      </c>
      <c r="K49" s="660"/>
      <c r="L49" s="660"/>
      <c r="M49" s="32"/>
    </row>
    <row r="57" spans="3:13" ht="15" customHeight="1" x14ac:dyDescent="0.25"/>
  </sheetData>
  <mergeCells count="50">
    <mergeCell ref="C49:E49"/>
    <mergeCell ref="G49:H49"/>
    <mergeCell ref="C46:E46"/>
    <mergeCell ref="G46:H46"/>
    <mergeCell ref="J49:L49"/>
    <mergeCell ref="F46:F47"/>
    <mergeCell ref="J46:L46"/>
    <mergeCell ref="C1:M1"/>
    <mergeCell ref="C2:M2"/>
    <mergeCell ref="C3:M3"/>
    <mergeCell ref="F5:F8"/>
    <mergeCell ref="K5:K8"/>
    <mergeCell ref="M5:M8"/>
    <mergeCell ref="F9:F12"/>
    <mergeCell ref="I9:I12"/>
    <mergeCell ref="K9:K12"/>
    <mergeCell ref="I5:I8"/>
    <mergeCell ref="L5:L8"/>
    <mergeCell ref="F41:F44"/>
    <mergeCell ref="F33:F36"/>
    <mergeCell ref="F37:F40"/>
    <mergeCell ref="I41:I44"/>
    <mergeCell ref="L25:L32"/>
    <mergeCell ref="I33:I36"/>
    <mergeCell ref="I37:I40"/>
    <mergeCell ref="M33:M44"/>
    <mergeCell ref="L33:L44"/>
    <mergeCell ref="K33:K36"/>
    <mergeCell ref="K37:K40"/>
    <mergeCell ref="M9:M20"/>
    <mergeCell ref="K13:K16"/>
    <mergeCell ref="M21:M24"/>
    <mergeCell ref="K17:K20"/>
    <mergeCell ref="K41:K44"/>
    <mergeCell ref="I13:I16"/>
    <mergeCell ref="F25:F28"/>
    <mergeCell ref="I25:I28"/>
    <mergeCell ref="K25:K28"/>
    <mergeCell ref="M25:M32"/>
    <mergeCell ref="L21:L24"/>
    <mergeCell ref="K21:K24"/>
    <mergeCell ref="I21:I24"/>
    <mergeCell ref="K29:K32"/>
    <mergeCell ref="F13:F16"/>
    <mergeCell ref="L9:L20"/>
    <mergeCell ref="I29:I32"/>
    <mergeCell ref="F29:F32"/>
    <mergeCell ref="F17:F20"/>
    <mergeCell ref="I17:I20"/>
    <mergeCell ref="F21:F24"/>
  </mergeCells>
  <pageMargins left="0.39370078740157483" right="0.39370078740157483" top="0.39370078740157483" bottom="0.39370078740157483" header="0.39370078740157483" footer="0.39370078740157483"/>
  <pageSetup paperSize="9" scale="85" orientation="landscape" r:id="rId1"/>
  <headerFooter scaleWithDoc="0" alignWithMargins="0"/>
  <rowBreaks count="1" manualBreakCount="1">
    <brk id="32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1"/>
  <sheetViews>
    <sheetView tabSelected="1" view="pageBreakPreview" topLeftCell="C1" zoomScale="90" zoomScaleNormal="100" zoomScaleSheetLayoutView="90" workbookViewId="0">
      <selection activeCell="H17" sqref="H17"/>
    </sheetView>
  </sheetViews>
  <sheetFormatPr defaultRowHeight="15.75" x14ac:dyDescent="0.25"/>
  <cols>
    <col min="1" max="1" width="1" hidden="1" customWidth="1"/>
    <col min="2" max="2" width="1.7109375" hidden="1" customWidth="1"/>
    <col min="3" max="3" width="7.7109375" customWidth="1"/>
    <col min="4" max="4" width="12.42578125" customWidth="1"/>
    <col min="5" max="5" width="39.5703125" customWidth="1"/>
    <col min="6" max="6" width="7.42578125" style="395" customWidth="1"/>
    <col min="7" max="7" width="7.85546875" customWidth="1"/>
    <col min="8" max="8" width="25.140625" customWidth="1"/>
    <col min="9" max="9" width="7.140625" customWidth="1"/>
    <col min="10" max="10" width="22.5703125" customWidth="1"/>
    <col min="11" max="11" width="7.28515625" customWidth="1"/>
    <col min="12" max="12" width="12.42578125" style="450" customWidth="1"/>
    <col min="13" max="13" width="10.28515625" customWidth="1"/>
  </cols>
  <sheetData>
    <row r="1" spans="3:13" ht="23.25" customHeight="1" x14ac:dyDescent="0.25">
      <c r="C1" s="685" t="s">
        <v>51</v>
      </c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3:13" ht="15.75" customHeight="1" x14ac:dyDescent="0.25">
      <c r="C2" s="688" t="s">
        <v>40</v>
      </c>
      <c r="D2" s="689"/>
      <c r="E2" s="689"/>
      <c r="F2" s="689"/>
      <c r="G2" s="689"/>
      <c r="H2" s="689"/>
      <c r="I2" s="689"/>
      <c r="J2" s="689"/>
      <c r="K2" s="689"/>
      <c r="L2" s="689"/>
      <c r="M2" s="690"/>
    </row>
    <row r="3" spans="3:13" ht="14.25" customHeight="1" thickBot="1" x14ac:dyDescent="0.3">
      <c r="C3" s="565" t="s">
        <v>127</v>
      </c>
      <c r="D3" s="566"/>
      <c r="E3" s="566"/>
      <c r="F3" s="566"/>
      <c r="G3" s="566"/>
      <c r="H3" s="566"/>
      <c r="I3" s="566"/>
      <c r="J3" s="566"/>
      <c r="K3" s="566"/>
      <c r="L3" s="566"/>
      <c r="M3" s="567"/>
    </row>
    <row r="4" spans="3:13" ht="15" customHeight="1" thickBot="1" x14ac:dyDescent="0.3">
      <c r="C4" s="22" t="s">
        <v>1</v>
      </c>
      <c r="D4" s="9" t="s">
        <v>2</v>
      </c>
      <c r="E4" s="23" t="s">
        <v>3</v>
      </c>
      <c r="F4" s="296" t="s">
        <v>4</v>
      </c>
      <c r="G4" s="297" t="s">
        <v>38</v>
      </c>
      <c r="H4" s="57" t="s">
        <v>6</v>
      </c>
      <c r="I4" s="10" t="s">
        <v>7</v>
      </c>
      <c r="J4" s="9" t="s">
        <v>8</v>
      </c>
      <c r="K4" s="9" t="s">
        <v>9</v>
      </c>
      <c r="L4" s="11" t="s">
        <v>10</v>
      </c>
      <c r="M4" s="11" t="s">
        <v>63</v>
      </c>
    </row>
    <row r="5" spans="3:13" s="139" customFormat="1" ht="14.1" customHeight="1" x14ac:dyDescent="0.25">
      <c r="C5" s="30">
        <v>1</v>
      </c>
      <c r="D5" s="216" t="str">
        <f>'[1]SM-I'!D5</f>
        <v>EKM7020</v>
      </c>
      <c r="E5" s="274" t="str">
        <f>'[1]SM-I'!E5</f>
        <v>Perencanaan Strategik &amp; Pengembangan S.D.M</v>
      </c>
      <c r="F5" s="691" t="s">
        <v>148</v>
      </c>
      <c r="G5" s="323"/>
      <c r="H5" s="324"/>
      <c r="I5" s="694">
        <f>'[1]SM-I'!$I$13</f>
        <v>6205</v>
      </c>
      <c r="J5" s="325" t="s">
        <v>114</v>
      </c>
      <c r="K5" s="703">
        <v>34</v>
      </c>
      <c r="L5" s="536" t="s">
        <v>73</v>
      </c>
      <c r="M5" s="684">
        <v>5</v>
      </c>
    </row>
    <row r="6" spans="3:13" s="139" customFormat="1" ht="14.1" customHeight="1" thickBot="1" x14ac:dyDescent="0.3">
      <c r="C6" s="31">
        <v>2</v>
      </c>
      <c r="D6" s="217" t="str">
        <f>'[1]SM-I'!D6</f>
        <v>EKM7024</v>
      </c>
      <c r="E6" s="275" t="str">
        <f>'[1]SM-I'!E6</f>
        <v>Seminar &amp; Riset MSDM</v>
      </c>
      <c r="F6" s="692"/>
      <c r="G6" s="326"/>
      <c r="H6" s="327"/>
      <c r="I6" s="695"/>
      <c r="J6" s="328" t="s">
        <v>115</v>
      </c>
      <c r="K6" s="704"/>
      <c r="L6" s="537"/>
      <c r="M6" s="684"/>
    </row>
    <row r="7" spans="3:13" s="139" customFormat="1" ht="14.1" customHeight="1" x14ac:dyDescent="0.25">
      <c r="C7" s="30">
        <v>3</v>
      </c>
      <c r="D7" s="217" t="str">
        <f>'[1]SM-I'!D7</f>
        <v>EKM7021</v>
      </c>
      <c r="E7" s="275" t="str">
        <f>'[1]SM-I'!E7</f>
        <v>Manajemen Kinerja dan Kompensasi</v>
      </c>
      <c r="F7" s="692"/>
      <c r="G7" s="326"/>
      <c r="H7" s="329"/>
      <c r="I7" s="695"/>
      <c r="J7" s="328" t="s">
        <v>116</v>
      </c>
      <c r="K7" s="704"/>
      <c r="L7" s="537"/>
      <c r="M7" s="684"/>
    </row>
    <row r="8" spans="3:13" s="139" customFormat="1" ht="14.1" customHeight="1" thickBot="1" x14ac:dyDescent="0.3">
      <c r="C8" s="31">
        <v>4</v>
      </c>
      <c r="D8" s="330" t="str">
        <f>'[1]SM-I'!D8</f>
        <v>EKM8010</v>
      </c>
      <c r="E8" s="276" t="str">
        <f>'[1]SM-I'!E8</f>
        <v>Tugas Akhir</v>
      </c>
      <c r="F8" s="693"/>
      <c r="G8" s="331" t="s">
        <v>105</v>
      </c>
      <c r="H8" s="332" t="s">
        <v>105</v>
      </c>
      <c r="I8" s="696"/>
      <c r="J8" s="333" t="s">
        <v>72</v>
      </c>
      <c r="K8" s="704"/>
      <c r="L8" s="537"/>
      <c r="M8" s="684"/>
    </row>
    <row r="9" spans="3:13" s="139" customFormat="1" ht="14.1" customHeight="1" x14ac:dyDescent="0.25">
      <c r="C9" s="30">
        <v>5</v>
      </c>
      <c r="D9" s="334" t="s">
        <v>118</v>
      </c>
      <c r="E9" s="140" t="s">
        <v>119</v>
      </c>
      <c r="F9" s="700" t="s">
        <v>149</v>
      </c>
      <c r="G9" s="335"/>
      <c r="H9" s="324"/>
      <c r="I9" s="697">
        <v>6510</v>
      </c>
      <c r="J9" s="325" t="s">
        <v>114</v>
      </c>
      <c r="K9" s="705"/>
      <c r="L9" s="642"/>
      <c r="M9" s="554"/>
    </row>
    <row r="10" spans="3:13" s="139" customFormat="1" ht="14.1" customHeight="1" thickBot="1" x14ac:dyDescent="0.3">
      <c r="C10" s="31">
        <v>6</v>
      </c>
      <c r="D10" s="336" t="s">
        <v>120</v>
      </c>
      <c r="E10" s="141" t="s">
        <v>121</v>
      </c>
      <c r="F10" s="701"/>
      <c r="G10" s="337"/>
      <c r="H10" s="338"/>
      <c r="I10" s="698"/>
      <c r="J10" s="328" t="s">
        <v>115</v>
      </c>
      <c r="K10" s="705"/>
      <c r="L10" s="642"/>
      <c r="M10" s="554"/>
    </row>
    <row r="11" spans="3:13" s="139" customFormat="1" ht="14.1" customHeight="1" x14ac:dyDescent="0.25">
      <c r="C11" s="30">
        <v>7</v>
      </c>
      <c r="D11" s="74" t="s">
        <v>122</v>
      </c>
      <c r="E11" s="339" t="s">
        <v>123</v>
      </c>
      <c r="F11" s="701"/>
      <c r="G11" s="337"/>
      <c r="H11" s="338"/>
      <c r="I11" s="698"/>
      <c r="J11" s="328" t="s">
        <v>116</v>
      </c>
      <c r="K11" s="705"/>
      <c r="L11" s="642"/>
      <c r="M11" s="554"/>
    </row>
    <row r="12" spans="3:13" s="139" customFormat="1" ht="14.1" customHeight="1" thickBot="1" x14ac:dyDescent="0.3">
      <c r="C12" s="31">
        <v>8</v>
      </c>
      <c r="D12" s="340" t="s">
        <v>71</v>
      </c>
      <c r="E12" s="26" t="s">
        <v>106</v>
      </c>
      <c r="F12" s="702"/>
      <c r="G12" s="331"/>
      <c r="H12" s="332"/>
      <c r="I12" s="699"/>
      <c r="J12" s="333" t="s">
        <v>72</v>
      </c>
      <c r="K12" s="706"/>
      <c r="L12" s="643"/>
      <c r="M12" s="555"/>
    </row>
    <row r="13" spans="3:13" ht="14.1" customHeight="1" x14ac:dyDescent="0.25">
      <c r="C13" s="30">
        <v>9</v>
      </c>
      <c r="D13" s="237" t="s">
        <v>55</v>
      </c>
      <c r="E13" s="238" t="s">
        <v>56</v>
      </c>
      <c r="F13" s="551" t="s">
        <v>143</v>
      </c>
      <c r="G13" s="224"/>
      <c r="H13" s="107"/>
      <c r="I13" s="633">
        <v>6209</v>
      </c>
      <c r="J13" s="112" t="s">
        <v>114</v>
      </c>
      <c r="K13" s="633">
        <v>27</v>
      </c>
      <c r="L13" s="624" t="s">
        <v>217</v>
      </c>
      <c r="M13" s="662">
        <v>4</v>
      </c>
    </row>
    <row r="14" spans="3:13" ht="14.1" customHeight="1" thickBot="1" x14ac:dyDescent="0.3">
      <c r="C14" s="31">
        <v>10</v>
      </c>
      <c r="D14" s="239" t="s">
        <v>57</v>
      </c>
      <c r="E14" s="240" t="s">
        <v>58</v>
      </c>
      <c r="F14" s="668"/>
      <c r="G14" s="111"/>
      <c r="H14" s="79"/>
      <c r="I14" s="595"/>
      <c r="J14" s="113" t="s">
        <v>115</v>
      </c>
      <c r="K14" s="634"/>
      <c r="L14" s="625"/>
      <c r="M14" s="663"/>
    </row>
    <row r="15" spans="3:13" ht="14.1" customHeight="1" x14ac:dyDescent="0.25">
      <c r="C15" s="30">
        <v>11</v>
      </c>
      <c r="D15" s="239" t="s">
        <v>53</v>
      </c>
      <c r="E15" s="240" t="s">
        <v>54</v>
      </c>
      <c r="F15" s="668"/>
      <c r="G15" s="111"/>
      <c r="H15" s="79"/>
      <c r="I15" s="595"/>
      <c r="J15" s="113" t="s">
        <v>116</v>
      </c>
      <c r="K15" s="634"/>
      <c r="L15" s="625"/>
      <c r="M15" s="663"/>
    </row>
    <row r="16" spans="3:13" ht="14.1" customHeight="1" thickBot="1" x14ac:dyDescent="0.3">
      <c r="C16" s="31">
        <v>12</v>
      </c>
      <c r="D16" s="241" t="s">
        <v>32</v>
      </c>
      <c r="E16" s="242" t="s">
        <v>33</v>
      </c>
      <c r="F16" s="669"/>
      <c r="G16" s="226"/>
      <c r="H16" s="227"/>
      <c r="I16" s="596"/>
      <c r="J16" s="219" t="s">
        <v>72</v>
      </c>
      <c r="K16" s="635"/>
      <c r="L16" s="625"/>
      <c r="M16" s="663"/>
    </row>
    <row r="17" spans="1:38" s="229" customFormat="1" ht="14.1" customHeight="1" x14ac:dyDescent="0.25">
      <c r="A17" s="228"/>
      <c r="B17" s="234"/>
      <c r="C17" s="30">
        <v>13</v>
      </c>
      <c r="D17" s="237" t="s">
        <v>55</v>
      </c>
      <c r="E17" s="238" t="s">
        <v>56</v>
      </c>
      <c r="F17" s="551" t="s">
        <v>144</v>
      </c>
      <c r="G17" s="224"/>
      <c r="H17" s="107"/>
      <c r="I17" s="633">
        <v>6502</v>
      </c>
      <c r="J17" s="112" t="s">
        <v>114</v>
      </c>
      <c r="K17" s="633">
        <v>26</v>
      </c>
      <c r="L17" s="625"/>
      <c r="M17" s="663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s="231" customFormat="1" ht="14.1" customHeight="1" thickBot="1" x14ac:dyDescent="0.3">
      <c r="A18" s="230"/>
      <c r="B18" s="235"/>
      <c r="C18" s="31">
        <v>14</v>
      </c>
      <c r="D18" s="239" t="s">
        <v>57</v>
      </c>
      <c r="E18" s="240" t="s">
        <v>58</v>
      </c>
      <c r="F18" s="668"/>
      <c r="G18" s="111"/>
      <c r="H18" s="79"/>
      <c r="I18" s="595"/>
      <c r="J18" s="113" t="s">
        <v>115</v>
      </c>
      <c r="K18" s="634"/>
      <c r="L18" s="625"/>
      <c r="M18" s="663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s="231" customFormat="1" ht="14.1" customHeight="1" x14ac:dyDescent="0.25">
      <c r="A19" s="230"/>
      <c r="B19" s="235"/>
      <c r="C19" s="30">
        <v>15</v>
      </c>
      <c r="D19" s="239" t="s">
        <v>53</v>
      </c>
      <c r="E19" s="240" t="s">
        <v>54</v>
      </c>
      <c r="F19" s="668"/>
      <c r="G19" s="111"/>
      <c r="H19" s="79"/>
      <c r="I19" s="595"/>
      <c r="J19" s="113" t="s">
        <v>116</v>
      </c>
      <c r="K19" s="634"/>
      <c r="L19" s="625"/>
      <c r="M19" s="663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s="233" customFormat="1" ht="14.1" customHeight="1" thickBot="1" x14ac:dyDescent="0.3">
      <c r="A20" s="232"/>
      <c r="B20" s="236"/>
      <c r="C20" s="31">
        <v>16</v>
      </c>
      <c r="D20" s="241" t="s">
        <v>32</v>
      </c>
      <c r="E20" s="242" t="s">
        <v>33</v>
      </c>
      <c r="F20" s="669"/>
      <c r="G20" s="122"/>
      <c r="H20" s="108"/>
      <c r="I20" s="596"/>
      <c r="J20" s="219" t="s">
        <v>72</v>
      </c>
      <c r="K20" s="635"/>
      <c r="L20" s="625"/>
      <c r="M20" s="663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ht="14.1" customHeight="1" x14ac:dyDescent="0.25">
      <c r="C21" s="30">
        <v>17</v>
      </c>
      <c r="D21" s="237" t="s">
        <v>55</v>
      </c>
      <c r="E21" s="238" t="s">
        <v>56</v>
      </c>
      <c r="F21" s="531" t="s">
        <v>145</v>
      </c>
      <c r="G21" s="225"/>
      <c r="H21" s="131"/>
      <c r="I21" s="670">
        <v>6506</v>
      </c>
      <c r="J21" s="112" t="s">
        <v>114</v>
      </c>
      <c r="K21" s="633">
        <v>24</v>
      </c>
      <c r="L21" s="625"/>
      <c r="M21" s="663"/>
    </row>
    <row r="22" spans="1:38" ht="14.1" customHeight="1" thickBot="1" x14ac:dyDescent="0.3">
      <c r="C22" s="31">
        <v>18</v>
      </c>
      <c r="D22" s="239" t="s">
        <v>57</v>
      </c>
      <c r="E22" s="240" t="s">
        <v>58</v>
      </c>
      <c r="F22" s="668"/>
      <c r="G22" s="111"/>
      <c r="H22" s="79"/>
      <c r="I22" s="671"/>
      <c r="J22" s="113" t="s">
        <v>115</v>
      </c>
      <c r="K22" s="634"/>
      <c r="L22" s="625"/>
      <c r="M22" s="663"/>
    </row>
    <row r="23" spans="1:38" ht="14.1" customHeight="1" x14ac:dyDescent="0.25">
      <c r="C23" s="30">
        <v>19</v>
      </c>
      <c r="D23" s="239" t="s">
        <v>53</v>
      </c>
      <c r="E23" s="240" t="s">
        <v>54</v>
      </c>
      <c r="F23" s="668"/>
      <c r="G23" s="111"/>
      <c r="H23" s="79"/>
      <c r="I23" s="671"/>
      <c r="J23" s="113" t="s">
        <v>116</v>
      </c>
      <c r="K23" s="634"/>
      <c r="L23" s="625"/>
      <c r="M23" s="663"/>
    </row>
    <row r="24" spans="1:38" ht="14.1" customHeight="1" thickBot="1" x14ac:dyDescent="0.3">
      <c r="C24" s="31">
        <v>20</v>
      </c>
      <c r="D24" s="241" t="s">
        <v>32</v>
      </c>
      <c r="E24" s="242" t="s">
        <v>33</v>
      </c>
      <c r="F24" s="668"/>
      <c r="G24" s="122"/>
      <c r="H24" s="108"/>
      <c r="I24" s="672"/>
      <c r="J24" s="219" t="s">
        <v>72</v>
      </c>
      <c r="K24" s="635"/>
      <c r="L24" s="625"/>
      <c r="M24" s="663"/>
    </row>
    <row r="25" spans="1:38" ht="14.1" customHeight="1" x14ac:dyDescent="0.25">
      <c r="C25" s="30">
        <v>21</v>
      </c>
      <c r="D25" s="220" t="s">
        <v>55</v>
      </c>
      <c r="E25" s="221" t="s">
        <v>56</v>
      </c>
      <c r="F25" s="707" t="s">
        <v>152</v>
      </c>
      <c r="G25" s="222"/>
      <c r="H25" s="223"/>
      <c r="I25" s="633">
        <v>6507</v>
      </c>
      <c r="J25" s="112" t="s">
        <v>114</v>
      </c>
      <c r="K25" s="633">
        <v>22</v>
      </c>
      <c r="L25" s="625"/>
      <c r="M25" s="663"/>
    </row>
    <row r="26" spans="1:38" ht="14.1" customHeight="1" thickBot="1" x14ac:dyDescent="0.3">
      <c r="C26" s="31">
        <v>22</v>
      </c>
      <c r="D26" s="114" t="s">
        <v>57</v>
      </c>
      <c r="E26" s="115" t="s">
        <v>58</v>
      </c>
      <c r="F26" s="708"/>
      <c r="G26" s="116"/>
      <c r="H26" s="117"/>
      <c r="I26" s="634"/>
      <c r="J26" s="113" t="s">
        <v>115</v>
      </c>
      <c r="K26" s="634"/>
      <c r="L26" s="625"/>
      <c r="M26" s="663"/>
    </row>
    <row r="27" spans="1:38" ht="14.1" customHeight="1" x14ac:dyDescent="0.25">
      <c r="C27" s="30">
        <v>23</v>
      </c>
      <c r="D27" s="114" t="s">
        <v>53</v>
      </c>
      <c r="E27" s="115" t="s">
        <v>54</v>
      </c>
      <c r="F27" s="708"/>
      <c r="G27" s="118"/>
      <c r="H27" s="119"/>
      <c r="I27" s="634"/>
      <c r="J27" s="113" t="s">
        <v>116</v>
      </c>
      <c r="K27" s="634"/>
      <c r="L27" s="625"/>
      <c r="M27" s="663"/>
    </row>
    <row r="28" spans="1:38" ht="14.1" customHeight="1" thickBot="1" x14ac:dyDescent="0.3">
      <c r="C28" s="31">
        <v>24</v>
      </c>
      <c r="D28" s="120" t="s">
        <v>32</v>
      </c>
      <c r="E28" s="121" t="s">
        <v>33</v>
      </c>
      <c r="F28" s="709"/>
      <c r="G28" s="122"/>
      <c r="H28" s="106"/>
      <c r="I28" s="635"/>
      <c r="J28" s="219" t="s">
        <v>72</v>
      </c>
      <c r="K28" s="635"/>
      <c r="L28" s="626"/>
      <c r="M28" s="664"/>
    </row>
    <row r="29" spans="1:38" ht="14.1" customHeight="1" x14ac:dyDescent="0.25">
      <c r="C29" s="30">
        <v>25</v>
      </c>
      <c r="D29" s="243" t="s">
        <v>87</v>
      </c>
      <c r="E29" s="238" t="s">
        <v>88</v>
      </c>
      <c r="F29" s="710" t="s">
        <v>146</v>
      </c>
      <c r="G29" s="83"/>
      <c r="H29" s="124"/>
      <c r="I29" s="713">
        <v>6504</v>
      </c>
      <c r="J29" s="112" t="s">
        <v>114</v>
      </c>
      <c r="K29" s="673">
        <v>19</v>
      </c>
      <c r="L29" s="443"/>
      <c r="M29" s="586">
        <v>3</v>
      </c>
    </row>
    <row r="30" spans="1:38" ht="14.1" customHeight="1" thickBot="1" x14ac:dyDescent="0.3">
      <c r="C30" s="31">
        <v>26</v>
      </c>
      <c r="D30" s="244" t="s">
        <v>92</v>
      </c>
      <c r="E30" s="240" t="s">
        <v>93</v>
      </c>
      <c r="F30" s="711"/>
      <c r="G30" s="125"/>
      <c r="H30" s="126"/>
      <c r="I30" s="714"/>
      <c r="J30" s="113" t="s">
        <v>115</v>
      </c>
      <c r="K30" s="673"/>
      <c r="L30" s="444" t="s">
        <v>111</v>
      </c>
      <c r="M30" s="587"/>
    </row>
    <row r="31" spans="1:38" ht="14.1" customHeight="1" x14ac:dyDescent="0.25">
      <c r="C31" s="30">
        <v>27</v>
      </c>
      <c r="D31" s="244" t="s">
        <v>89</v>
      </c>
      <c r="E31" s="240" t="s">
        <v>110</v>
      </c>
      <c r="F31" s="711"/>
      <c r="G31" s="110"/>
      <c r="H31" s="117"/>
      <c r="I31" s="714"/>
      <c r="J31" s="113" t="s">
        <v>116</v>
      </c>
      <c r="K31" s="673"/>
      <c r="L31" s="445" t="s">
        <v>21</v>
      </c>
      <c r="M31" s="587"/>
    </row>
    <row r="32" spans="1:38" ht="14.1" customHeight="1" thickBot="1" x14ac:dyDescent="0.3">
      <c r="C32" s="31">
        <v>28</v>
      </c>
      <c r="D32" s="245" t="s">
        <v>90</v>
      </c>
      <c r="E32" s="242" t="s">
        <v>91</v>
      </c>
      <c r="F32" s="712"/>
      <c r="G32" s="72"/>
      <c r="H32" s="127"/>
      <c r="I32" s="715"/>
      <c r="J32" s="123" t="s">
        <v>72</v>
      </c>
      <c r="K32" s="674"/>
      <c r="L32" s="446"/>
      <c r="M32" s="588"/>
    </row>
    <row r="33" spans="3:13" ht="14.1" customHeight="1" x14ac:dyDescent="0.25">
      <c r="C33" s="30">
        <v>29</v>
      </c>
      <c r="D33" s="246" t="s">
        <v>28</v>
      </c>
      <c r="E33" s="247" t="s">
        <v>29</v>
      </c>
      <c r="F33" s="545" t="s">
        <v>147</v>
      </c>
      <c r="G33" s="95"/>
      <c r="H33" s="96"/>
      <c r="I33" s="633">
        <v>6508</v>
      </c>
      <c r="J33" s="112" t="s">
        <v>114</v>
      </c>
      <c r="K33" s="633">
        <v>29</v>
      </c>
      <c r="L33" s="505"/>
      <c r="M33" s="662">
        <v>2</v>
      </c>
    </row>
    <row r="34" spans="3:13" ht="14.1" customHeight="1" thickBot="1" x14ac:dyDescent="0.3">
      <c r="C34" s="31">
        <v>30</v>
      </c>
      <c r="D34" s="248" t="s">
        <v>98</v>
      </c>
      <c r="E34" s="249" t="s">
        <v>112</v>
      </c>
      <c r="F34" s="676"/>
      <c r="G34" s="89"/>
      <c r="H34" s="90"/>
      <c r="I34" s="634"/>
      <c r="J34" s="113" t="s">
        <v>115</v>
      </c>
      <c r="K34" s="634"/>
      <c r="L34" s="504" t="s">
        <v>113</v>
      </c>
      <c r="M34" s="663"/>
    </row>
    <row r="35" spans="3:13" ht="14.1" customHeight="1" x14ac:dyDescent="0.25">
      <c r="C35" s="30">
        <v>31</v>
      </c>
      <c r="D35" s="248" t="s">
        <v>94</v>
      </c>
      <c r="E35" s="249" t="s">
        <v>95</v>
      </c>
      <c r="F35" s="676"/>
      <c r="G35" s="80"/>
      <c r="H35" s="128"/>
      <c r="I35" s="634"/>
      <c r="J35" s="113" t="s">
        <v>116</v>
      </c>
      <c r="K35" s="634"/>
      <c r="L35" s="442" t="s">
        <v>21</v>
      </c>
      <c r="M35" s="663"/>
    </row>
    <row r="36" spans="3:13" ht="14.1" customHeight="1" thickBot="1" x14ac:dyDescent="0.3">
      <c r="C36" s="31">
        <v>32</v>
      </c>
      <c r="D36" s="250" t="s">
        <v>96</v>
      </c>
      <c r="E36" s="251" t="s">
        <v>97</v>
      </c>
      <c r="F36" s="677"/>
      <c r="G36" s="129"/>
      <c r="H36" s="130"/>
      <c r="I36" s="635"/>
      <c r="J36" s="123" t="s">
        <v>72</v>
      </c>
      <c r="K36" s="635"/>
      <c r="L36" s="447"/>
      <c r="M36" s="664"/>
    </row>
    <row r="37" spans="3:13" s="139" customFormat="1" ht="14.1" customHeight="1" x14ac:dyDescent="0.25">
      <c r="C37" s="30">
        <v>33</v>
      </c>
      <c r="D37" s="306" t="s">
        <v>47</v>
      </c>
      <c r="E37" s="307" t="s">
        <v>48</v>
      </c>
      <c r="F37" s="683" t="s">
        <v>148</v>
      </c>
      <c r="G37" s="308"/>
      <c r="H37" s="309"/>
      <c r="I37" s="682">
        <v>6605</v>
      </c>
      <c r="J37" s="310" t="s">
        <v>114</v>
      </c>
      <c r="K37" s="633"/>
      <c r="L37" s="665"/>
      <c r="M37" s="662">
        <v>1</v>
      </c>
    </row>
    <row r="38" spans="3:13" s="139" customFormat="1" ht="14.1" customHeight="1" thickBot="1" x14ac:dyDescent="0.3">
      <c r="C38" s="31">
        <v>34</v>
      </c>
      <c r="D38" s="306" t="s">
        <v>45</v>
      </c>
      <c r="E38" s="307" t="s">
        <v>46</v>
      </c>
      <c r="F38" s="678"/>
      <c r="G38" s="311"/>
      <c r="H38" s="312"/>
      <c r="I38" s="680"/>
      <c r="J38" s="313" t="s">
        <v>115</v>
      </c>
      <c r="K38" s="614"/>
      <c r="L38" s="666"/>
      <c r="M38" s="554"/>
    </row>
    <row r="39" spans="3:13" s="139" customFormat="1" ht="14.1" customHeight="1" x14ac:dyDescent="0.25">
      <c r="C39" s="30">
        <v>35</v>
      </c>
      <c r="D39" s="314" t="s">
        <v>43</v>
      </c>
      <c r="E39" s="315" t="s">
        <v>44</v>
      </c>
      <c r="F39" s="678"/>
      <c r="G39" s="311"/>
      <c r="H39" s="312"/>
      <c r="I39" s="680"/>
      <c r="J39" s="313" t="s">
        <v>116</v>
      </c>
      <c r="K39" s="614"/>
      <c r="L39" s="666"/>
      <c r="M39" s="554"/>
    </row>
    <row r="40" spans="3:13" s="139" customFormat="1" ht="14.1" customHeight="1" thickBot="1" x14ac:dyDescent="0.3">
      <c r="C40" s="31">
        <v>36</v>
      </c>
      <c r="D40" s="316" t="s">
        <v>41</v>
      </c>
      <c r="E40" s="317" t="s">
        <v>42</v>
      </c>
      <c r="F40" s="679"/>
      <c r="G40" s="318"/>
      <c r="H40" s="319"/>
      <c r="I40" s="681"/>
      <c r="J40" s="320" t="s">
        <v>72</v>
      </c>
      <c r="K40" s="615"/>
      <c r="L40" s="666"/>
      <c r="M40" s="554"/>
    </row>
    <row r="41" spans="3:13" s="139" customFormat="1" ht="14.1" customHeight="1" x14ac:dyDescent="0.25">
      <c r="C41" s="30">
        <v>37</v>
      </c>
      <c r="D41" s="306" t="s">
        <v>47</v>
      </c>
      <c r="E41" s="307" t="s">
        <v>48</v>
      </c>
      <c r="F41" s="683" t="s">
        <v>149</v>
      </c>
      <c r="G41" s="308"/>
      <c r="H41" s="309"/>
      <c r="I41" s="682">
        <v>6602</v>
      </c>
      <c r="J41" s="310" t="s">
        <v>114</v>
      </c>
      <c r="K41" s="633"/>
      <c r="L41" s="666"/>
      <c r="M41" s="554"/>
    </row>
    <row r="42" spans="3:13" s="139" customFormat="1" ht="14.1" customHeight="1" thickBot="1" x14ac:dyDescent="0.3">
      <c r="C42" s="31">
        <v>38</v>
      </c>
      <c r="D42" s="306" t="s">
        <v>45</v>
      </c>
      <c r="E42" s="307" t="s">
        <v>46</v>
      </c>
      <c r="F42" s="678"/>
      <c r="G42" s="311"/>
      <c r="H42" s="312"/>
      <c r="I42" s="680"/>
      <c r="J42" s="313" t="s">
        <v>115</v>
      </c>
      <c r="K42" s="614"/>
      <c r="L42" s="666"/>
      <c r="M42" s="554"/>
    </row>
    <row r="43" spans="3:13" s="139" customFormat="1" ht="14.1" customHeight="1" x14ac:dyDescent="0.25">
      <c r="C43" s="30">
        <v>39</v>
      </c>
      <c r="D43" s="314" t="s">
        <v>43</v>
      </c>
      <c r="E43" s="315" t="s">
        <v>44</v>
      </c>
      <c r="F43" s="678"/>
      <c r="G43" s="311"/>
      <c r="H43" s="312"/>
      <c r="I43" s="680"/>
      <c r="J43" s="313" t="s">
        <v>116</v>
      </c>
      <c r="K43" s="614"/>
      <c r="L43" s="666"/>
      <c r="M43" s="554"/>
    </row>
    <row r="44" spans="3:13" s="139" customFormat="1" ht="14.1" customHeight="1" thickBot="1" x14ac:dyDescent="0.3">
      <c r="C44" s="31">
        <v>40</v>
      </c>
      <c r="D44" s="316" t="s">
        <v>41</v>
      </c>
      <c r="E44" s="317" t="s">
        <v>42</v>
      </c>
      <c r="F44" s="679"/>
      <c r="G44" s="318"/>
      <c r="H44" s="319"/>
      <c r="I44" s="681"/>
      <c r="J44" s="320" t="s">
        <v>72</v>
      </c>
      <c r="K44" s="615"/>
      <c r="L44" s="666"/>
      <c r="M44" s="554"/>
    </row>
    <row r="45" spans="3:13" s="139" customFormat="1" ht="14.1" customHeight="1" x14ac:dyDescent="0.25">
      <c r="C45" s="30">
        <v>41</v>
      </c>
      <c r="D45" s="306" t="s">
        <v>47</v>
      </c>
      <c r="E45" s="307" t="s">
        <v>48</v>
      </c>
      <c r="F45" s="531" t="s">
        <v>150</v>
      </c>
      <c r="G45" s="34"/>
      <c r="H45" s="321"/>
      <c r="I45" s="634">
        <v>6606</v>
      </c>
      <c r="J45" s="310" t="s">
        <v>114</v>
      </c>
      <c r="K45" s="634"/>
      <c r="L45" s="666"/>
      <c r="M45" s="554"/>
    </row>
    <row r="46" spans="3:13" s="139" customFormat="1" ht="14.1" customHeight="1" thickBot="1" x14ac:dyDescent="0.3">
      <c r="C46" s="31">
        <v>42</v>
      </c>
      <c r="D46" s="306" t="s">
        <v>45</v>
      </c>
      <c r="E46" s="307" t="s">
        <v>46</v>
      </c>
      <c r="F46" s="678"/>
      <c r="G46" s="34"/>
      <c r="H46" s="321"/>
      <c r="I46" s="680"/>
      <c r="J46" s="313" t="s">
        <v>115</v>
      </c>
      <c r="K46" s="614"/>
      <c r="L46" s="666"/>
      <c r="M46" s="554"/>
    </row>
    <row r="47" spans="3:13" s="139" customFormat="1" ht="14.1" customHeight="1" x14ac:dyDescent="0.25">
      <c r="C47" s="30">
        <v>43</v>
      </c>
      <c r="D47" s="314" t="s">
        <v>43</v>
      </c>
      <c r="E47" s="315" t="s">
        <v>44</v>
      </c>
      <c r="F47" s="678"/>
      <c r="G47" s="74"/>
      <c r="H47" s="159"/>
      <c r="I47" s="680"/>
      <c r="J47" s="313" t="s">
        <v>116</v>
      </c>
      <c r="K47" s="614"/>
      <c r="L47" s="666"/>
      <c r="M47" s="554"/>
    </row>
    <row r="48" spans="3:13" s="139" customFormat="1" ht="14.1" customHeight="1" thickBot="1" x14ac:dyDescent="0.3">
      <c r="C48" s="31">
        <v>44</v>
      </c>
      <c r="D48" s="316" t="s">
        <v>41</v>
      </c>
      <c r="E48" s="317" t="s">
        <v>42</v>
      </c>
      <c r="F48" s="679"/>
      <c r="G48" s="31"/>
      <c r="H48" s="322"/>
      <c r="I48" s="681"/>
      <c r="J48" s="320" t="s">
        <v>72</v>
      </c>
      <c r="K48" s="615"/>
      <c r="L48" s="667"/>
      <c r="M48" s="555"/>
    </row>
    <row r="49" spans="3:13" s="139" customFormat="1" ht="14.1" customHeight="1" x14ac:dyDescent="0.25">
      <c r="C49" s="207"/>
      <c r="D49" s="208"/>
      <c r="E49" s="209"/>
      <c r="F49" s="393"/>
      <c r="G49" s="207"/>
      <c r="H49" s="210"/>
      <c r="I49" s="173"/>
      <c r="J49" s="211"/>
      <c r="K49" s="173"/>
      <c r="L49" s="448"/>
      <c r="M49" s="304"/>
    </row>
    <row r="50" spans="3:13" s="139" customFormat="1" ht="14.1" customHeight="1" x14ac:dyDescent="0.25">
      <c r="C50" s="207"/>
      <c r="D50" s="208"/>
      <c r="E50" s="209"/>
      <c r="F50" s="393"/>
      <c r="G50" s="207"/>
      <c r="H50" s="210"/>
      <c r="I50" s="173"/>
      <c r="J50" s="211"/>
      <c r="K50" s="173"/>
      <c r="L50" s="396"/>
      <c r="M50" s="172"/>
    </row>
    <row r="51" spans="3:13" ht="14.1" customHeight="1" x14ac:dyDescent="0.3">
      <c r="C51" s="570" t="s">
        <v>153</v>
      </c>
      <c r="D51" s="570"/>
      <c r="E51" s="570"/>
      <c r="F51" s="394"/>
      <c r="G51" s="571" t="s">
        <v>49</v>
      </c>
      <c r="H51" s="571"/>
      <c r="I51" s="62"/>
      <c r="J51" s="675"/>
      <c r="K51" s="675"/>
      <c r="L51" s="675"/>
      <c r="M51" s="35"/>
    </row>
    <row r="52" spans="3:13" ht="14.1" customHeight="1" x14ac:dyDescent="0.3">
      <c r="C52" s="61"/>
      <c r="D52" s="61"/>
      <c r="E52" s="61"/>
      <c r="F52" s="394"/>
      <c r="G52" s="67"/>
      <c r="H52" s="47"/>
      <c r="I52" s="62"/>
      <c r="J52" s="62"/>
      <c r="K52" s="62"/>
      <c r="L52" s="449"/>
      <c r="M52" s="35"/>
    </row>
    <row r="53" spans="3:13" ht="14.1" customHeight="1" x14ac:dyDescent="0.3">
      <c r="C53" s="302"/>
      <c r="D53" s="302"/>
      <c r="E53" s="302"/>
      <c r="F53" s="394"/>
      <c r="G53" s="67"/>
      <c r="H53" s="47"/>
      <c r="I53" s="303"/>
      <c r="J53" s="303"/>
      <c r="K53" s="303"/>
      <c r="L53" s="449"/>
      <c r="M53" s="35"/>
    </row>
    <row r="54" spans="3:13" ht="14.1" customHeight="1" x14ac:dyDescent="0.3">
      <c r="C54" s="302"/>
      <c r="D54" s="302"/>
      <c r="E54" s="302"/>
      <c r="F54" s="394"/>
      <c r="G54" s="67"/>
      <c r="H54" s="47"/>
      <c r="I54" s="303"/>
      <c r="J54" s="303"/>
      <c r="K54" s="303"/>
      <c r="L54" s="449"/>
      <c r="M54" s="35"/>
    </row>
    <row r="55" spans="3:13" ht="14.1" customHeight="1" x14ac:dyDescent="0.3">
      <c r="C55" s="61"/>
      <c r="D55" s="61"/>
      <c r="E55" s="61"/>
      <c r="F55" s="394"/>
      <c r="G55" s="66"/>
      <c r="H55" s="65"/>
      <c r="I55" s="62"/>
      <c r="J55" s="62"/>
      <c r="K55" s="62"/>
      <c r="L55" s="449"/>
      <c r="M55" s="35"/>
    </row>
    <row r="56" spans="3:13" ht="14.1" customHeight="1" x14ac:dyDescent="0.3">
      <c r="C56" s="577" t="s">
        <v>124</v>
      </c>
      <c r="D56" s="577"/>
      <c r="E56" s="577"/>
      <c r="F56" s="394"/>
      <c r="G56" s="578" t="s">
        <v>50</v>
      </c>
      <c r="H56" s="578"/>
      <c r="I56" s="62"/>
      <c r="J56" s="675"/>
      <c r="K56" s="675"/>
      <c r="L56" s="675"/>
      <c r="M56" s="35"/>
    </row>
    <row r="57" spans="3:13" hidden="1" x14ac:dyDescent="0.25"/>
    <row r="58" spans="3:13" ht="0.75" customHeight="1" x14ac:dyDescent="0.25"/>
    <row r="61" spans="3:13" x14ac:dyDescent="0.25">
      <c r="M61" s="56"/>
    </row>
  </sheetData>
  <mergeCells count="49">
    <mergeCell ref="F41:F44"/>
    <mergeCell ref="I9:I12"/>
    <mergeCell ref="F9:F12"/>
    <mergeCell ref="L5:L12"/>
    <mergeCell ref="K5:K12"/>
    <mergeCell ref="K25:K28"/>
    <mergeCell ref="F25:F28"/>
    <mergeCell ref="I25:I28"/>
    <mergeCell ref="K33:K36"/>
    <mergeCell ref="F29:F32"/>
    <mergeCell ref="I29:I32"/>
    <mergeCell ref="M5:M12"/>
    <mergeCell ref="C1:M1"/>
    <mergeCell ref="C2:M2"/>
    <mergeCell ref="C3:M3"/>
    <mergeCell ref="F5:F8"/>
    <mergeCell ref="I5:I8"/>
    <mergeCell ref="C56:E56"/>
    <mergeCell ref="G56:H56"/>
    <mergeCell ref="J56:L56"/>
    <mergeCell ref="J51:L51"/>
    <mergeCell ref="F33:F36"/>
    <mergeCell ref="C51:E51"/>
    <mergeCell ref="G51:H51"/>
    <mergeCell ref="F45:F48"/>
    <mergeCell ref="I45:I48"/>
    <mergeCell ref="K45:K48"/>
    <mergeCell ref="I33:I36"/>
    <mergeCell ref="K37:K40"/>
    <mergeCell ref="K41:K44"/>
    <mergeCell ref="I37:I40"/>
    <mergeCell ref="I41:I44"/>
    <mergeCell ref="F37:F40"/>
    <mergeCell ref="M13:M28"/>
    <mergeCell ref="M33:M36"/>
    <mergeCell ref="L37:L48"/>
    <mergeCell ref="F13:F16"/>
    <mergeCell ref="F17:F20"/>
    <mergeCell ref="F21:F24"/>
    <mergeCell ref="I13:I16"/>
    <mergeCell ref="I17:I20"/>
    <mergeCell ref="I21:I24"/>
    <mergeCell ref="K13:K16"/>
    <mergeCell ref="K17:K20"/>
    <mergeCell ref="K21:K24"/>
    <mergeCell ref="L13:L28"/>
    <mergeCell ref="M29:M32"/>
    <mergeCell ref="K29:K32"/>
    <mergeCell ref="M37:M4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85" orientation="landscape" r:id="rId1"/>
  <rowBreaks count="1" manualBreakCount="1">
    <brk id="36" min="2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42"/>
  <sheetViews>
    <sheetView topLeftCell="C1" zoomScale="70" zoomScaleNormal="70" workbookViewId="0">
      <selection activeCell="H9" sqref="H9"/>
    </sheetView>
  </sheetViews>
  <sheetFormatPr defaultColWidth="10.140625" defaultRowHeight="15.75" x14ac:dyDescent="0.25"/>
  <cols>
    <col min="1" max="2" width="0" style="716" hidden="1" customWidth="1"/>
    <col min="3" max="3" width="6.140625" style="716" customWidth="1"/>
    <col min="4" max="4" width="10.5703125" style="788" customWidth="1"/>
    <col min="5" max="5" width="52.28515625" style="789" customWidth="1"/>
    <col min="6" max="6" width="11.42578125" style="716" customWidth="1"/>
    <col min="7" max="7" width="9.42578125" style="716" customWidth="1"/>
    <col min="8" max="8" width="30.28515625" style="789" customWidth="1"/>
    <col min="9" max="9" width="9.42578125" style="716" customWidth="1"/>
    <col min="10" max="10" width="21.7109375" style="716" customWidth="1"/>
    <col min="11" max="11" width="7.85546875" style="716" customWidth="1"/>
    <col min="12" max="12" width="14.28515625" style="790" customWidth="1"/>
    <col min="13" max="13" width="8.7109375" style="716" customWidth="1"/>
    <col min="14" max="15" width="10.140625" style="716"/>
    <col min="16" max="16" width="35.5703125" style="716" customWidth="1"/>
    <col min="17" max="17" width="11" style="716" customWidth="1"/>
    <col min="18" max="18" width="20" style="716" customWidth="1"/>
    <col min="19" max="16384" width="10.140625" style="716"/>
  </cols>
  <sheetData>
    <row r="1" spans="3:13" ht="22.5" customHeight="1" x14ac:dyDescent="0.25">
      <c r="C1" s="796" t="s">
        <v>156</v>
      </c>
      <c r="D1" s="797"/>
      <c r="E1" s="797"/>
      <c r="F1" s="797"/>
      <c r="G1" s="797"/>
      <c r="H1" s="797"/>
      <c r="I1" s="797"/>
      <c r="J1" s="797"/>
      <c r="K1" s="797"/>
      <c r="L1" s="797"/>
      <c r="M1" s="798"/>
    </row>
    <row r="2" spans="3:13" ht="22.5" customHeight="1" x14ac:dyDescent="0.25">
      <c r="C2" s="794" t="s">
        <v>157</v>
      </c>
      <c r="D2" s="795"/>
      <c r="E2" s="795"/>
      <c r="F2" s="795"/>
      <c r="G2" s="795"/>
      <c r="H2" s="795"/>
      <c r="I2" s="795"/>
      <c r="J2" s="795"/>
      <c r="K2" s="795"/>
      <c r="L2" s="795"/>
      <c r="M2" s="799"/>
    </row>
    <row r="3" spans="3:13" ht="21.75" customHeight="1" x14ac:dyDescent="0.25">
      <c r="C3" s="800" t="s">
        <v>158</v>
      </c>
      <c r="D3" s="801"/>
      <c r="E3" s="801"/>
      <c r="F3" s="801"/>
      <c r="G3" s="801"/>
      <c r="H3" s="801"/>
      <c r="I3" s="801"/>
      <c r="J3" s="801"/>
      <c r="K3" s="801"/>
      <c r="L3" s="801"/>
      <c r="M3" s="802"/>
    </row>
    <row r="4" spans="3:13" ht="16.5" customHeight="1" x14ac:dyDescent="0.25">
      <c r="C4" s="717"/>
      <c r="D4" s="718"/>
      <c r="E4" s="719"/>
      <c r="F4" s="717"/>
      <c r="G4" s="717"/>
      <c r="H4" s="720"/>
      <c r="I4" s="717"/>
      <c r="J4" s="717"/>
      <c r="K4" s="717"/>
      <c r="L4" s="721"/>
    </row>
    <row r="5" spans="3:13" s="724" customFormat="1" ht="23.25" customHeight="1" x14ac:dyDescent="0.25">
      <c r="C5" s="722" t="s">
        <v>159</v>
      </c>
      <c r="D5" s="722" t="s">
        <v>2</v>
      </c>
      <c r="E5" s="723" t="s">
        <v>3</v>
      </c>
      <c r="F5" s="722" t="s">
        <v>4</v>
      </c>
      <c r="G5" s="722" t="s">
        <v>38</v>
      </c>
      <c r="H5" s="723" t="s">
        <v>160</v>
      </c>
      <c r="I5" s="722" t="s">
        <v>7</v>
      </c>
      <c r="J5" s="722" t="s">
        <v>8</v>
      </c>
      <c r="K5" s="722" t="s">
        <v>9</v>
      </c>
      <c r="L5" s="722" t="s">
        <v>10</v>
      </c>
      <c r="M5" s="723" t="s">
        <v>63</v>
      </c>
    </row>
    <row r="6" spans="3:13" s="734" customFormat="1" ht="21.75" customHeight="1" x14ac:dyDescent="0.25">
      <c r="C6" s="725">
        <v>1</v>
      </c>
      <c r="D6" s="726" t="s">
        <v>161</v>
      </c>
      <c r="E6" s="727" t="s">
        <v>162</v>
      </c>
      <c r="F6" s="728" t="s">
        <v>148</v>
      </c>
      <c r="G6" s="729">
        <v>96073</v>
      </c>
      <c r="H6" s="730"/>
      <c r="I6" s="731">
        <v>1301</v>
      </c>
      <c r="J6" s="727" t="s">
        <v>163</v>
      </c>
      <c r="K6" s="729">
        <v>8</v>
      </c>
      <c r="L6" s="732"/>
      <c r="M6" s="733">
        <v>1</v>
      </c>
    </row>
    <row r="7" spans="3:13" s="734" customFormat="1" ht="21.75" customHeight="1" x14ac:dyDescent="0.25">
      <c r="C7" s="725">
        <v>2</v>
      </c>
      <c r="D7" s="726" t="s">
        <v>164</v>
      </c>
      <c r="E7" s="727" t="s">
        <v>165</v>
      </c>
      <c r="F7" s="728"/>
      <c r="G7" s="729">
        <v>99163</v>
      </c>
      <c r="H7" s="735"/>
      <c r="I7" s="731"/>
      <c r="J7" s="727" t="s">
        <v>166</v>
      </c>
      <c r="K7" s="729">
        <v>8</v>
      </c>
      <c r="L7" s="732"/>
      <c r="M7" s="736"/>
    </row>
    <row r="8" spans="3:13" s="734" customFormat="1" ht="21.75" customHeight="1" x14ac:dyDescent="0.25">
      <c r="C8" s="725">
        <v>3</v>
      </c>
      <c r="D8" s="726" t="s">
        <v>167</v>
      </c>
      <c r="E8" s="727" t="s">
        <v>168</v>
      </c>
      <c r="F8" s="728"/>
      <c r="G8" s="737" t="s">
        <v>169</v>
      </c>
      <c r="H8" s="727"/>
      <c r="I8" s="731"/>
      <c r="J8" s="727" t="s">
        <v>170</v>
      </c>
      <c r="K8" s="729">
        <v>8</v>
      </c>
      <c r="L8" s="732"/>
      <c r="M8" s="736"/>
    </row>
    <row r="9" spans="3:13" s="740" customFormat="1" ht="21.75" customHeight="1" x14ac:dyDescent="0.25">
      <c r="C9" s="725">
        <v>4</v>
      </c>
      <c r="D9" s="726" t="s">
        <v>171</v>
      </c>
      <c r="E9" s="727" t="s">
        <v>172</v>
      </c>
      <c r="F9" s="728"/>
      <c r="G9" s="738" t="s">
        <v>173</v>
      </c>
      <c r="H9" s="727"/>
      <c r="I9" s="731"/>
      <c r="J9" s="727" t="s">
        <v>174</v>
      </c>
      <c r="K9" s="729">
        <v>8</v>
      </c>
      <c r="L9" s="732"/>
      <c r="M9" s="739"/>
    </row>
    <row r="10" spans="3:13" s="747" customFormat="1" ht="7.5" customHeight="1" x14ac:dyDescent="0.25">
      <c r="C10" s="741"/>
      <c r="D10" s="742"/>
      <c r="E10" s="743"/>
      <c r="F10" s="744"/>
      <c r="G10" s="741"/>
      <c r="H10" s="743"/>
      <c r="I10" s="745"/>
      <c r="J10" s="746"/>
      <c r="K10" s="741"/>
      <c r="L10" s="746"/>
      <c r="M10" s="741"/>
    </row>
    <row r="11" spans="3:13" s="747" customFormat="1" ht="21.75" customHeight="1" x14ac:dyDescent="0.25">
      <c r="C11" s="729">
        <v>1</v>
      </c>
      <c r="D11" s="726" t="s">
        <v>175</v>
      </c>
      <c r="E11" s="748" t="s">
        <v>176</v>
      </c>
      <c r="F11" s="749" t="s">
        <v>147</v>
      </c>
      <c r="G11" s="737" t="s">
        <v>169</v>
      </c>
      <c r="H11" s="727"/>
      <c r="I11" s="750">
        <v>1303</v>
      </c>
      <c r="J11" s="727" t="s">
        <v>177</v>
      </c>
      <c r="K11" s="729">
        <v>7</v>
      </c>
      <c r="L11" s="732"/>
      <c r="M11" s="733">
        <v>2</v>
      </c>
    </row>
    <row r="12" spans="3:13" ht="21.75" customHeight="1" x14ac:dyDescent="0.25">
      <c r="C12" s="729">
        <v>2</v>
      </c>
      <c r="D12" s="726" t="s">
        <v>178</v>
      </c>
      <c r="E12" s="748" t="s">
        <v>179</v>
      </c>
      <c r="F12" s="728"/>
      <c r="G12" s="737">
        <v>95047</v>
      </c>
      <c r="H12" s="748"/>
      <c r="I12" s="751"/>
      <c r="J12" s="727" t="s">
        <v>180</v>
      </c>
      <c r="K12" s="729">
        <v>7</v>
      </c>
      <c r="L12" s="732"/>
      <c r="M12" s="736"/>
    </row>
    <row r="13" spans="3:13" ht="21.75" customHeight="1" x14ac:dyDescent="0.25">
      <c r="C13" s="729">
        <v>3</v>
      </c>
      <c r="D13" s="726" t="s">
        <v>181</v>
      </c>
      <c r="E13" s="748" t="s">
        <v>182</v>
      </c>
      <c r="F13" s="728"/>
      <c r="G13" s="737" t="s">
        <v>183</v>
      </c>
      <c r="H13" s="727"/>
      <c r="I13" s="751"/>
      <c r="J13" s="752" t="s">
        <v>184</v>
      </c>
      <c r="K13" s="729">
        <v>7</v>
      </c>
      <c r="L13" s="732"/>
      <c r="M13" s="736"/>
    </row>
    <row r="14" spans="3:13" ht="21.75" customHeight="1" x14ac:dyDescent="0.25">
      <c r="C14" s="729">
        <v>4</v>
      </c>
      <c r="D14" s="726" t="s">
        <v>185</v>
      </c>
      <c r="E14" s="748" t="s">
        <v>186</v>
      </c>
      <c r="F14" s="728"/>
      <c r="G14" s="729">
        <v>99163</v>
      </c>
      <c r="H14" s="753"/>
      <c r="I14" s="751"/>
      <c r="J14" s="727" t="s">
        <v>187</v>
      </c>
      <c r="K14" s="729">
        <v>7</v>
      </c>
      <c r="L14" s="732"/>
      <c r="M14" s="739"/>
    </row>
    <row r="15" spans="3:13" ht="7.5" customHeight="1" x14ac:dyDescent="0.25">
      <c r="C15" s="741"/>
      <c r="D15" s="742"/>
      <c r="E15" s="743"/>
      <c r="F15" s="744"/>
      <c r="G15" s="741"/>
      <c r="H15" s="743"/>
      <c r="I15" s="745"/>
      <c r="J15" s="746"/>
      <c r="K15" s="741"/>
      <c r="L15" s="746"/>
      <c r="M15" s="741"/>
    </row>
    <row r="16" spans="3:13" s="747" customFormat="1" ht="21.75" customHeight="1" x14ac:dyDescent="0.25">
      <c r="C16" s="729">
        <v>1</v>
      </c>
      <c r="D16" s="726" t="s">
        <v>188</v>
      </c>
      <c r="E16" s="748" t="s">
        <v>189</v>
      </c>
      <c r="F16" s="754" t="s">
        <v>146</v>
      </c>
      <c r="G16" s="729">
        <v>14001</v>
      </c>
      <c r="H16" s="748"/>
      <c r="I16" s="755">
        <v>1304</v>
      </c>
      <c r="J16" s="727" t="s">
        <v>177</v>
      </c>
      <c r="K16" s="729">
        <v>14</v>
      </c>
      <c r="L16" s="732"/>
      <c r="M16" s="733">
        <v>3</v>
      </c>
    </row>
    <row r="17" spans="3:13" s="747" customFormat="1" ht="21.75" customHeight="1" x14ac:dyDescent="0.25">
      <c r="C17" s="729">
        <v>2</v>
      </c>
      <c r="D17" s="726" t="s">
        <v>190</v>
      </c>
      <c r="E17" s="748" t="s">
        <v>191</v>
      </c>
      <c r="F17" s="754"/>
      <c r="G17" s="729">
        <v>99167</v>
      </c>
      <c r="H17" s="748"/>
      <c r="I17" s="755"/>
      <c r="J17" s="727" t="s">
        <v>192</v>
      </c>
      <c r="K17" s="729">
        <v>14</v>
      </c>
      <c r="L17" s="732"/>
      <c r="M17" s="736"/>
    </row>
    <row r="18" spans="3:13" s="757" customFormat="1" ht="21.75" customHeight="1" x14ac:dyDescent="0.3">
      <c r="C18" s="729">
        <v>3</v>
      </c>
      <c r="D18" s="726" t="s">
        <v>193</v>
      </c>
      <c r="E18" s="748" t="s">
        <v>194</v>
      </c>
      <c r="F18" s="754"/>
      <c r="G18" s="737">
        <v>95047</v>
      </c>
      <c r="H18" s="756"/>
      <c r="I18" s="755"/>
      <c r="J18" s="727" t="s">
        <v>195</v>
      </c>
      <c r="K18" s="729">
        <v>14</v>
      </c>
      <c r="L18" s="732"/>
      <c r="M18" s="736"/>
    </row>
    <row r="19" spans="3:13" s="757" customFormat="1" ht="21.75" customHeight="1" x14ac:dyDescent="0.3">
      <c r="C19" s="729">
        <v>4</v>
      </c>
      <c r="D19" s="726" t="s">
        <v>196</v>
      </c>
      <c r="E19" s="748" t="s">
        <v>197</v>
      </c>
      <c r="F19" s="754"/>
      <c r="G19" s="758" t="s">
        <v>198</v>
      </c>
      <c r="H19" s="735"/>
      <c r="I19" s="755"/>
      <c r="J19" s="727" t="s">
        <v>199</v>
      </c>
      <c r="K19" s="729">
        <v>14</v>
      </c>
      <c r="L19" s="732"/>
      <c r="M19" s="739"/>
    </row>
    <row r="20" spans="3:13" s="757" customFormat="1" ht="7.5" customHeight="1" x14ac:dyDescent="0.3">
      <c r="C20" s="741"/>
      <c r="D20" s="742"/>
      <c r="E20" s="743"/>
      <c r="F20" s="744"/>
      <c r="G20" s="741"/>
      <c r="H20" s="743"/>
      <c r="I20" s="745"/>
      <c r="J20" s="746"/>
      <c r="K20" s="741"/>
      <c r="L20" s="746"/>
      <c r="M20" s="741"/>
    </row>
    <row r="21" spans="3:13" s="747" customFormat="1" ht="21.75" customHeight="1" x14ac:dyDescent="0.25">
      <c r="C21" s="729">
        <v>1</v>
      </c>
      <c r="D21" s="759" t="s">
        <v>200</v>
      </c>
      <c r="E21" s="760" t="s">
        <v>201</v>
      </c>
      <c r="F21" s="754" t="s">
        <v>143</v>
      </c>
      <c r="G21" s="729" t="s">
        <v>202</v>
      </c>
      <c r="H21" s="730"/>
      <c r="I21" s="755">
        <v>1306</v>
      </c>
      <c r="J21" s="727" t="s">
        <v>203</v>
      </c>
      <c r="K21" s="729">
        <v>10</v>
      </c>
      <c r="L21" s="732"/>
      <c r="M21" s="733">
        <v>4</v>
      </c>
    </row>
    <row r="22" spans="3:13" ht="21.75" customHeight="1" x14ac:dyDescent="0.25">
      <c r="C22" s="725">
        <v>2</v>
      </c>
      <c r="D22" s="759" t="s">
        <v>204</v>
      </c>
      <c r="E22" s="760" t="s">
        <v>205</v>
      </c>
      <c r="F22" s="754"/>
      <c r="G22" s="737" t="s">
        <v>183</v>
      </c>
      <c r="H22" s="727"/>
      <c r="I22" s="755"/>
      <c r="J22" s="727" t="s">
        <v>180</v>
      </c>
      <c r="K22" s="729">
        <v>10</v>
      </c>
      <c r="L22" s="732"/>
      <c r="M22" s="736"/>
    </row>
    <row r="23" spans="3:13" ht="21.75" customHeight="1" x14ac:dyDescent="0.25">
      <c r="C23" s="725">
        <v>3</v>
      </c>
      <c r="D23" s="759" t="s">
        <v>206</v>
      </c>
      <c r="E23" s="760" t="s">
        <v>207</v>
      </c>
      <c r="F23" s="754"/>
      <c r="G23" s="729">
        <v>99167</v>
      </c>
      <c r="H23" s="761"/>
      <c r="I23" s="755"/>
      <c r="J23" s="727" t="s">
        <v>195</v>
      </c>
      <c r="K23" s="729">
        <v>10</v>
      </c>
      <c r="L23" s="732"/>
      <c r="M23" s="736"/>
    </row>
    <row r="24" spans="3:13" ht="21.75" customHeight="1" x14ac:dyDescent="0.25">
      <c r="C24" s="725">
        <v>4</v>
      </c>
      <c r="D24" s="759" t="s">
        <v>208</v>
      </c>
      <c r="E24" s="760" t="s">
        <v>209</v>
      </c>
      <c r="F24" s="754"/>
      <c r="G24" s="729">
        <v>14001</v>
      </c>
      <c r="H24" s="735"/>
      <c r="I24" s="755"/>
      <c r="J24" s="727" t="s">
        <v>199</v>
      </c>
      <c r="K24" s="729">
        <v>10</v>
      </c>
      <c r="L24" s="732"/>
      <c r="M24" s="739"/>
    </row>
    <row r="25" spans="3:13" s="757" customFormat="1" ht="7.5" customHeight="1" x14ac:dyDescent="0.3">
      <c r="C25" s="762"/>
      <c r="D25" s="762"/>
      <c r="E25" s="763"/>
      <c r="F25" s="764"/>
      <c r="G25" s="762"/>
      <c r="H25" s="763"/>
      <c r="I25" s="762"/>
      <c r="J25" s="765"/>
      <c r="K25" s="762"/>
      <c r="L25" s="765"/>
      <c r="M25" s="762"/>
    </row>
    <row r="26" spans="3:13" s="757" customFormat="1" ht="19.7" customHeight="1" x14ac:dyDescent="0.3">
      <c r="C26" s="766">
        <v>1</v>
      </c>
      <c r="D26" s="767" t="s">
        <v>210</v>
      </c>
      <c r="E26" s="768" t="s">
        <v>211</v>
      </c>
      <c r="F26" s="769" t="s">
        <v>142</v>
      </c>
      <c r="G26" s="770"/>
      <c r="H26" s="771"/>
      <c r="I26" s="770"/>
      <c r="J26" s="768"/>
      <c r="K26" s="766">
        <v>31</v>
      </c>
      <c r="L26" s="771"/>
      <c r="M26" s="766">
        <v>5</v>
      </c>
    </row>
    <row r="27" spans="3:13" s="757" customFormat="1" ht="19.7" customHeight="1" x14ac:dyDescent="0.3">
      <c r="C27" s="766">
        <v>2</v>
      </c>
      <c r="D27" s="772" t="s">
        <v>212</v>
      </c>
      <c r="E27" s="719" t="s">
        <v>213</v>
      </c>
      <c r="F27" s="766"/>
      <c r="G27" s="770"/>
      <c r="H27" s="771"/>
      <c r="I27" s="770"/>
      <c r="J27" s="768"/>
      <c r="K27" s="766"/>
      <c r="L27" s="766"/>
      <c r="M27" s="766"/>
    </row>
    <row r="28" spans="3:13" s="757" customFormat="1" ht="12" customHeight="1" x14ac:dyDescent="0.3">
      <c r="C28" s="773"/>
      <c r="D28" s="774"/>
      <c r="E28" s="775"/>
      <c r="F28" s="773"/>
      <c r="G28" s="773"/>
      <c r="H28" s="776"/>
      <c r="I28" s="773"/>
      <c r="J28" s="777"/>
      <c r="K28" s="773"/>
      <c r="L28" s="778"/>
      <c r="M28" s="778"/>
    </row>
    <row r="29" spans="3:13" s="757" customFormat="1" ht="9" customHeight="1" x14ac:dyDescent="0.3">
      <c r="C29" s="717"/>
      <c r="D29" s="718"/>
      <c r="E29" s="719"/>
      <c r="F29" s="717"/>
      <c r="G29" s="717"/>
      <c r="H29" s="720"/>
      <c r="I29" s="717"/>
      <c r="J29" s="717"/>
      <c r="K29" s="717"/>
      <c r="L29" s="721"/>
    </row>
    <row r="30" spans="3:13" s="757" customFormat="1" ht="26.25" customHeight="1" x14ac:dyDescent="0.3">
      <c r="C30" s="779" t="s">
        <v>216</v>
      </c>
      <c r="D30" s="780"/>
      <c r="E30" s="781"/>
      <c r="F30" s="782"/>
      <c r="G30" s="783"/>
      <c r="H30" s="784"/>
      <c r="I30" s="783"/>
      <c r="J30" s="783"/>
      <c r="K30" s="783"/>
      <c r="L30" s="785"/>
    </row>
    <row r="31" spans="3:13" s="757" customFormat="1" ht="26.25" customHeight="1" x14ac:dyDescent="0.3">
      <c r="C31" s="791" t="s">
        <v>153</v>
      </c>
      <c r="D31" s="791"/>
      <c r="E31" s="791"/>
      <c r="F31" s="782"/>
      <c r="G31" s="783"/>
      <c r="H31" s="779" t="s">
        <v>214</v>
      </c>
      <c r="I31" s="783"/>
      <c r="J31" s="783"/>
      <c r="K31" s="783"/>
      <c r="L31" s="785"/>
    </row>
    <row r="32" spans="3:13" s="757" customFormat="1" ht="26.25" customHeight="1" x14ac:dyDescent="0.3">
      <c r="C32" s="792"/>
      <c r="D32" s="792"/>
      <c r="E32" s="792"/>
      <c r="F32" s="782"/>
      <c r="G32" s="783"/>
      <c r="H32" s="786"/>
      <c r="I32" s="783"/>
      <c r="J32" s="783"/>
      <c r="K32" s="783"/>
      <c r="L32" s="785"/>
    </row>
    <row r="33" spans="3:12" s="757" customFormat="1" ht="26.25" customHeight="1" x14ac:dyDescent="0.3">
      <c r="C33" s="792"/>
      <c r="D33" s="792"/>
      <c r="E33" s="792"/>
      <c r="F33" s="782"/>
      <c r="G33" s="783"/>
      <c r="H33" s="786"/>
      <c r="I33" s="783"/>
      <c r="J33" s="783"/>
      <c r="K33" s="783"/>
      <c r="L33" s="785"/>
    </row>
    <row r="34" spans="3:12" ht="26.25" customHeight="1" x14ac:dyDescent="0.3">
      <c r="C34" s="793" t="s">
        <v>124</v>
      </c>
      <c r="D34" s="793"/>
      <c r="E34" s="793"/>
      <c r="F34" s="782"/>
      <c r="G34" s="783"/>
      <c r="H34" s="779" t="s">
        <v>215</v>
      </c>
      <c r="I34" s="783"/>
      <c r="J34" s="783"/>
      <c r="K34" s="783"/>
      <c r="L34" s="785"/>
    </row>
    <row r="35" spans="3:12" ht="18.75" x14ac:dyDescent="0.3">
      <c r="C35" s="792"/>
      <c r="D35" s="792"/>
      <c r="E35" s="792"/>
    </row>
    <row r="36" spans="3:12" x14ac:dyDescent="0.25">
      <c r="C36" s="787"/>
      <c r="D36" s="787"/>
      <c r="E36" s="787"/>
    </row>
    <row r="37" spans="3:12" x14ac:dyDescent="0.25">
      <c r="C37" s="787"/>
      <c r="D37" s="787"/>
      <c r="E37" s="787"/>
    </row>
    <row r="38" spans="3:12" x14ac:dyDescent="0.25">
      <c r="D38" s="716"/>
      <c r="E38" s="716"/>
    </row>
    <row r="39" spans="3:12" x14ac:dyDescent="0.25">
      <c r="D39" s="716"/>
      <c r="E39" s="716"/>
    </row>
    <row r="40" spans="3:12" x14ac:dyDescent="0.25">
      <c r="D40" s="716"/>
      <c r="E40" s="716"/>
    </row>
    <row r="41" spans="3:12" x14ac:dyDescent="0.25">
      <c r="D41" s="716"/>
      <c r="E41" s="716"/>
    </row>
    <row r="42" spans="3:12" x14ac:dyDescent="0.25">
      <c r="D42" s="716"/>
      <c r="E42" s="716"/>
    </row>
  </sheetData>
  <mergeCells count="17">
    <mergeCell ref="C31:E31"/>
    <mergeCell ref="C34:E34"/>
    <mergeCell ref="F21:F24"/>
    <mergeCell ref="I21:I24"/>
    <mergeCell ref="M21:M24"/>
    <mergeCell ref="F11:F14"/>
    <mergeCell ref="I11:I14"/>
    <mergeCell ref="M11:M14"/>
    <mergeCell ref="F16:F19"/>
    <mergeCell ref="I16:I19"/>
    <mergeCell ref="M16:M19"/>
    <mergeCell ref="F6:F9"/>
    <mergeCell ref="I6:I9"/>
    <mergeCell ref="M6:M9"/>
    <mergeCell ref="C1:M1"/>
    <mergeCell ref="C2:M2"/>
    <mergeCell ref="C3:M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SM-Karyawan </vt:lpstr>
      <vt:lpstr>SA-Informasi</vt:lpstr>
      <vt:lpstr>SA-Karyawan</vt:lpstr>
      <vt:lpstr>SM-Intensif </vt:lpstr>
      <vt:lpstr>SI-Intensif</vt:lpstr>
      <vt:lpstr>'SA-Informasi'!Print_Area</vt:lpstr>
      <vt:lpstr>'SA-Karyawan'!Print_Area</vt:lpstr>
      <vt:lpstr>'SM-Intensif '!Print_Area</vt:lpstr>
      <vt:lpstr>'SA-Karyawan'!Print_Titles</vt:lpstr>
      <vt:lpstr>'SM-Intensif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CPU.ABFI.1410.0022</dc:creator>
  <cp:lastModifiedBy>Registrasi 032</cp:lastModifiedBy>
  <cp:lastPrinted>2019-09-19T11:36:40Z</cp:lastPrinted>
  <dcterms:created xsi:type="dcterms:W3CDTF">2017-04-01T06:06:04Z</dcterms:created>
  <dcterms:modified xsi:type="dcterms:W3CDTF">2019-09-20T04:08:30Z</dcterms:modified>
</cp:coreProperties>
</file>